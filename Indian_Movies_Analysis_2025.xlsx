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By House" sheetId="2" r:id="rId6"/>
    <sheet state="visible" name="By Genre" sheetId="3" r:id="rId7"/>
    <sheet state="visible" name="Monthly" sheetId="4" r:id="rId8"/>
    <sheet state="visible" name="Quarterly" sheetId="5" r:id="rId9"/>
    <sheet state="visible" name="Scores" sheetId="6" r:id="rId10"/>
    <sheet state="visible" name="ROI Analysis" sheetId="7" r:id="rId11"/>
    <sheet state="visible" name="Pivot Summary" sheetId="8" r:id="rId12"/>
    <sheet state="visible" name="Dashboard KPIs" sheetId="9" r:id="rId13"/>
  </sheets>
  <definedNames/>
  <calcPr/>
  <pivotCaches>
    <pivotCache cacheId="0" r:id="rId14"/>
    <pivotCache cacheId="1" r:id="rId15"/>
  </pivotCaches>
</workbook>
</file>

<file path=xl/sharedStrings.xml><?xml version="1.0" encoding="utf-8"?>
<sst xmlns="http://schemas.openxmlformats.org/spreadsheetml/2006/main" count="934" uniqueCount="183">
  <si>
    <t>#</t>
  </si>
  <si>
    <t>Title</t>
  </si>
  <si>
    <t>House</t>
  </si>
  <si>
    <t>Language</t>
  </si>
  <si>
    <t>Genre</t>
  </si>
  <si>
    <t>Month</t>
  </si>
  <si>
    <t>Month Name</t>
  </si>
  <si>
    <t>Quarter</t>
  </si>
  <si>
    <t>Budget (₹ Cr)</t>
  </si>
  <si>
    <t>Box Office (₹ Cr)</t>
  </si>
  <si>
    <t>OTT Rights (₹ Cr)</t>
  </si>
  <si>
    <t>Total Revenue (₹ Cr)</t>
  </si>
  <si>
    <t>ROI (x)</t>
  </si>
  <si>
    <t>Critic Score</t>
  </si>
  <si>
    <t>Audience Score</t>
  </si>
  <si>
    <t>Avg Score</t>
  </si>
  <si>
    <t>Sky Force</t>
  </si>
  <si>
    <t>Bollywood</t>
  </si>
  <si>
    <t>Hindi</t>
  </si>
  <si>
    <t>Action</t>
  </si>
  <si>
    <t>Chhaava</t>
  </si>
  <si>
    <t>Historical , Epic</t>
  </si>
  <si>
    <t>Raid 2</t>
  </si>
  <si>
    <t>Drama, Crime</t>
  </si>
  <si>
    <t>Housefull 5</t>
  </si>
  <si>
    <t>Comedy</t>
  </si>
  <si>
    <t>Saiyaara</t>
  </si>
  <si>
    <t>Romance, Drama</t>
  </si>
  <si>
    <t>Mahavatar Narsimha</t>
  </si>
  <si>
    <t>Epic</t>
  </si>
  <si>
    <t>War 2</t>
  </si>
  <si>
    <t>Bholaa</t>
  </si>
  <si>
    <t>Horror</t>
  </si>
  <si>
    <t>Dhurandhar</t>
  </si>
  <si>
    <t>Action, Thriller, Spy</t>
  </si>
  <si>
    <t>Sitaare Zameen Par</t>
  </si>
  <si>
    <t>Family, Drama</t>
  </si>
  <si>
    <t>Tourist Family</t>
  </si>
  <si>
    <t>Kollywood</t>
  </si>
  <si>
    <t>Tamil</t>
  </si>
  <si>
    <t>Family, Comedy</t>
  </si>
  <si>
    <t>Vidaamuyarchi</t>
  </si>
  <si>
    <t>Action, Drama</t>
  </si>
  <si>
    <t>Dragon</t>
  </si>
  <si>
    <t>Drama</t>
  </si>
  <si>
    <t>Good Bad Ugly</t>
  </si>
  <si>
    <t>Action, Comedy</t>
  </si>
  <si>
    <t>Thug Life</t>
  </si>
  <si>
    <t>Thalaivan Thalaivii</t>
  </si>
  <si>
    <t>Coolie</t>
  </si>
  <si>
    <t>Action, Thriller</t>
  </si>
  <si>
    <t>Madharaasi</t>
  </si>
  <si>
    <t>Action, Sci-Fi</t>
  </si>
  <si>
    <t>Dude</t>
  </si>
  <si>
    <t>Romance, Comedy</t>
  </si>
  <si>
    <t>Bison</t>
  </si>
  <si>
    <t>Rekhachithram</t>
  </si>
  <si>
    <t>Mollywood</t>
  </si>
  <si>
    <t>Malayalam</t>
  </si>
  <si>
    <t>Thriller</t>
  </si>
  <si>
    <t>Officer on Duty</t>
  </si>
  <si>
    <t>L2: Empuraan</t>
  </si>
  <si>
    <t>Thudarum</t>
  </si>
  <si>
    <t>Alappuzha Gymkhana</t>
  </si>
  <si>
    <t>Lokah Chapter 1: Chandra</t>
  </si>
  <si>
    <t>Fantasy</t>
  </si>
  <si>
    <t>Hridayapoorvam</t>
  </si>
  <si>
    <t>Dies Irae</t>
  </si>
  <si>
    <t>Sarvam Maya</t>
  </si>
  <si>
    <t>Kalamkaval</t>
  </si>
  <si>
    <t>Thriller, Crime</t>
  </si>
  <si>
    <t>Bhai</t>
  </si>
  <si>
    <t>Oollywood</t>
  </si>
  <si>
    <t>Odia</t>
  </si>
  <si>
    <t>Adrushya</t>
  </si>
  <si>
    <t>Sci-Fi, Thriller</t>
  </si>
  <si>
    <t>Pade Akasha</t>
  </si>
  <si>
    <t>Romance</t>
  </si>
  <si>
    <t>Ajira Rebati</t>
  </si>
  <si>
    <t>Bou Buttu Bhuta</t>
  </si>
  <si>
    <t>Comedy, Horror</t>
  </si>
  <si>
    <t>Charidham</t>
  </si>
  <si>
    <t>Lahari</t>
  </si>
  <si>
    <t>Sir</t>
  </si>
  <si>
    <t>Shri Jagannath Nka Nabakalebara</t>
  </si>
  <si>
    <t>Fantasy, Historical</t>
  </si>
  <si>
    <t>Nanda Master'nka Chatasali</t>
  </si>
  <si>
    <t>Biography</t>
  </si>
  <si>
    <t>Majhail</t>
  </si>
  <si>
    <t>Pollywood</t>
  </si>
  <si>
    <t>Punjabi</t>
  </si>
  <si>
    <t>Action, Crime</t>
  </si>
  <si>
    <t>Badnaam</t>
  </si>
  <si>
    <t>Nikka Zaildar 4</t>
  </si>
  <si>
    <t>Comedy, Drama</t>
  </si>
  <si>
    <t>Akaal: The Unconquered</t>
  </si>
  <si>
    <t>Action, Historical</t>
  </si>
  <si>
    <t>Saunkan Saunkanay 2</t>
  </si>
  <si>
    <t>Sardaar Ji 3</t>
  </si>
  <si>
    <t>Comedy, Fantasy</t>
  </si>
  <si>
    <t>Sarbala Ji</t>
  </si>
  <si>
    <t>Drama, Comedy</t>
  </si>
  <si>
    <t>Phaphey Kuttniyan</t>
  </si>
  <si>
    <t>Comedy, Family</t>
  </si>
  <si>
    <t>Guru Nanak Jahaz</t>
  </si>
  <si>
    <t>Ikk Kudi</t>
  </si>
  <si>
    <t>Choo Mantar</t>
  </si>
  <si>
    <t>Sandalwood</t>
  </si>
  <si>
    <t>Kannada</t>
  </si>
  <si>
    <t>Yuddhakaanda 2</t>
  </si>
  <si>
    <t>Su From So</t>
  </si>
  <si>
    <t>Ekka</t>
  </si>
  <si>
    <t>Maadeva</t>
  </si>
  <si>
    <t>Kantara: Chapter 1</t>
  </si>
  <si>
    <t>Brat</t>
  </si>
  <si>
    <t>The Devil</t>
  </si>
  <si>
    <t>Mark</t>
  </si>
  <si>
    <t>Thriller, Action</t>
  </si>
  <si>
    <t>Sankranthiki Vasthunam</t>
  </si>
  <si>
    <t>Tollywood</t>
  </si>
  <si>
    <t>Telugu</t>
  </si>
  <si>
    <t>Game Changer</t>
  </si>
  <si>
    <t>Daaku Maharaaj</t>
  </si>
  <si>
    <t>Drama, Action</t>
  </si>
  <si>
    <t>Thandel</t>
  </si>
  <si>
    <t>Action, Romance</t>
  </si>
  <si>
    <t>Kuberaa</t>
  </si>
  <si>
    <t>HIT: The Third Case</t>
  </si>
  <si>
    <t>Kingdom</t>
  </si>
  <si>
    <t>Thriller, Spy</t>
  </si>
  <si>
    <t>Hari Hara Veera Mallu</t>
  </si>
  <si>
    <t>They Call Him OG</t>
  </si>
  <si>
    <t>Mirai</t>
  </si>
  <si>
    <t>Action, Fantasy</t>
  </si>
  <si>
    <t># Movies</t>
  </si>
  <si>
    <t>Total Budget (₹ Cr)</t>
  </si>
  <si>
    <t>Total Box Office (₹ Cr)</t>
  </si>
  <si>
    <t>Total OTT (₹ Cr)</t>
  </si>
  <si>
    <t>Avg ROI (x)</t>
  </si>
  <si>
    <t>Hit Rate (ROI&gt;1)</t>
  </si>
  <si>
    <t>Avg Critic</t>
  </si>
  <si>
    <t>Avg Audience</t>
  </si>
  <si>
    <t>TOTAL / AVG</t>
  </si>
  <si>
    <t># of Movies</t>
  </si>
  <si>
    <t>Average Revenue (₹ Cr)</t>
  </si>
  <si>
    <t>Average Profit per Movie</t>
  </si>
  <si>
    <t>ROI</t>
  </si>
  <si>
    <t>Z-Score</t>
  </si>
  <si>
    <t>Month #</t>
  </si>
  <si>
    <t>ANNUAL TOTAL / AVG</t>
  </si>
  <si>
    <t>Months</t>
  </si>
  <si>
    <t>% of Annual Revenue</t>
  </si>
  <si>
    <t>Q2</t>
  </si>
  <si>
    <t>Q3</t>
  </si>
  <si>
    <t>Q4</t>
  </si>
  <si>
    <t>ANNUAL</t>
  </si>
  <si>
    <t>Score Tier</t>
  </si>
  <si>
    <t>Q1</t>
  </si>
  <si>
    <t>COUNTA of Score Tier</t>
  </si>
  <si>
    <t>Average</t>
  </si>
  <si>
    <t>Blockbuster</t>
  </si>
  <si>
    <t>Flop</t>
  </si>
  <si>
    <t>Hit</t>
  </si>
  <si>
    <t>Grand Total</t>
  </si>
  <si>
    <t>Gross Profit (₹ Cr)</t>
  </si>
  <si>
    <t>Return %</t>
  </si>
  <si>
    <t>Status</t>
  </si>
  <si>
    <t>Profitable</t>
  </si>
  <si>
    <t>COUNTA of Status</t>
  </si>
  <si>
    <t>Break Even</t>
  </si>
  <si>
    <t>Loss</t>
  </si>
  <si>
    <t>House / Quarter</t>
  </si>
  <si>
    <t>Annual Total</t>
  </si>
  <si>
    <t>TOTAL</t>
  </si>
  <si>
    <t>Total Movies</t>
  </si>
  <si>
    <t>Revenue (₹ Cr)</t>
  </si>
  <si>
    <t>Score</t>
  </si>
  <si>
    <t>Film Houses</t>
  </si>
  <si>
    <t>Total OTT Rev (₹ Cr)</t>
  </si>
  <si>
    <t>Avg ROI</t>
  </si>
  <si>
    <t>3.31x</t>
  </si>
  <si>
    <t>6.7/10</t>
  </si>
  <si>
    <t>Correlation between Score and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</si>
</sst>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0.00\x"/>
    <numFmt numFmtId="166" formatCode="0.0"/>
    <numFmt numFmtId="167" formatCode="0.0%"/>
  </numFmts>
  <fonts count="13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rgb="FF000000"/>
      <name val="Arial"/>
    </font>
    <font>
      <color theme="1"/>
      <name val="Calibri"/>
      <scheme val="minor"/>
    </font>
    <font>
      <sz val="10.0"/>
      <color theme="1"/>
      <name val="Arial"/>
    </font>
    <font>
      <color theme="1"/>
      <name val="Google Sans Text"/>
    </font>
    <font>
      <color theme="1"/>
      <name val="Arial"/>
    </font>
    <font>
      <b/>
      <color theme="1"/>
      <name val="Calibri"/>
      <scheme val="minor"/>
    </font>
    <font>
      <sz val="13.0"/>
      <color theme="1"/>
      <name val="Calibri"/>
      <scheme val="minor"/>
    </font>
    <font>
      <b/>
      <sz val="10.0"/>
      <color theme="1"/>
      <name val="Roboto"/>
    </font>
    <font/>
    <font>
      <sz val="10.0"/>
      <color theme="1"/>
      <name val="Roboto"/>
    </font>
    <font>
      <sz val="10.0"/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</fills>
  <borders count="11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/>
      <top style="thin">
        <color rgb="FFCCCCCC"/>
      </top>
    </border>
    <border>
      <left style="thin">
        <color rgb="FFCCCCCC"/>
      </left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49" xfId="0" applyAlignment="1" applyBorder="1" applyFont="1" applyNumberFormat="1">
      <alignment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readingOrder="0" shrinkToFit="0" vertical="center" wrapText="1"/>
    </xf>
    <xf borderId="1" fillId="0" fontId="2" numFmtId="164" xfId="0" applyAlignment="1" applyBorder="1" applyFont="1" applyNumberFormat="1">
      <alignment shrinkToFit="0" vertical="center" wrapText="1"/>
    </xf>
    <xf borderId="1" fillId="0" fontId="2" numFmtId="165" xfId="0" applyAlignment="1" applyBorder="1" applyFont="1" applyNumberFormat="1">
      <alignment shrinkToFit="0" vertical="center" wrapText="1"/>
    </xf>
    <xf borderId="1" fillId="0" fontId="2" numFmtId="166" xfId="0" applyAlignment="1" applyBorder="1" applyFont="1" applyNumberFormat="1">
      <alignment readingOrder="0" shrinkToFit="0" vertical="center" wrapText="1"/>
    </xf>
    <xf borderId="1" fillId="0" fontId="2" numFmtId="166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7" xfId="0" applyAlignment="1" applyBorder="1" applyFont="1" applyNumberFormat="1">
      <alignment shrinkToFit="0" vertical="center" wrapText="1"/>
    </xf>
    <xf borderId="1" fillId="2" fontId="2" numFmtId="0" xfId="0" applyAlignment="1" applyBorder="1" applyFill="1" applyFont="1">
      <alignment horizontal="left" shrinkToFit="0" vertical="center" wrapText="0"/>
    </xf>
    <xf borderId="1" fillId="2" fontId="2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2" numFmtId="164" xfId="0" applyAlignment="1" applyBorder="1" applyFont="1" applyNumberFormat="1">
      <alignment shrinkToFit="0" vertical="center" wrapText="1"/>
    </xf>
    <xf borderId="1" fillId="2" fontId="2" numFmtId="165" xfId="0" applyAlignment="1" applyBorder="1" applyFont="1" applyNumberFormat="1">
      <alignment shrinkToFit="0" vertical="center" wrapText="1"/>
    </xf>
    <xf borderId="1" fillId="2" fontId="2" numFmtId="167" xfId="0" applyAlignment="1" applyBorder="1" applyFont="1" applyNumberFormat="1">
      <alignment shrinkToFit="0" vertical="center" wrapText="1"/>
    </xf>
    <xf borderId="1" fillId="2" fontId="2" numFmtId="166" xfId="0" applyAlignment="1" applyBorder="1" applyFont="1" applyNumberFormat="1">
      <alignment shrinkToFit="0" vertical="center" wrapText="1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6" numFmtId="49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1" fillId="2" fontId="2" numFmtId="167" xfId="0" applyAlignment="1" applyBorder="1" applyFont="1" applyNumberFormat="1">
      <alignment horizontal="right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4" numFmtId="49" xfId="0" applyAlignment="1" applyBorder="1" applyFont="1" applyNumberFormat="1">
      <alignment shrinkToFit="0" vertical="center" wrapText="1"/>
    </xf>
    <xf borderId="1" fillId="0" fontId="3" numFmtId="49" xfId="0" applyAlignment="1" applyBorder="1" applyFont="1" applyNumberFormat="1">
      <alignment shrinkToFit="0" vertical="center" wrapText="0"/>
    </xf>
    <xf borderId="1" fillId="0" fontId="3" numFmtId="166" xfId="0" applyAlignment="1" applyBorder="1" applyFont="1" applyNumberFormat="1">
      <alignment shrinkToFit="0" vertical="center" wrapText="0"/>
    </xf>
    <xf borderId="1" fillId="0" fontId="3" numFmtId="164" xfId="0" applyAlignment="1" applyBorder="1" applyFont="1" applyNumberFormat="1">
      <alignment shrinkToFit="0" vertical="center" wrapText="0"/>
    </xf>
    <xf borderId="1" fillId="0" fontId="3" numFmtId="165" xfId="0" applyAlignment="1" applyBorder="1" applyFont="1" applyNumberFormat="1">
      <alignment horizontal="right" shrinkToFit="0" vertical="center" wrapText="0"/>
    </xf>
    <xf borderId="0" fillId="0" fontId="3" numFmtId="0" xfId="0" applyFont="1"/>
    <xf borderId="0" fillId="0" fontId="3" numFmtId="49" xfId="0" applyFont="1" applyNumberFormat="1"/>
    <xf borderId="0" fillId="0" fontId="8" numFmtId="0" xfId="0" applyFont="1"/>
    <xf borderId="1" fillId="0" fontId="3" numFmtId="0" xfId="0" applyBorder="1" applyFont="1"/>
    <xf borderId="1" fillId="0" fontId="4" numFmtId="49" xfId="0" applyAlignment="1" applyBorder="1" applyFont="1" applyNumberFormat="1">
      <alignment shrinkToFit="0" vertical="center" wrapText="1"/>
    </xf>
    <xf borderId="1" fillId="0" fontId="3" numFmtId="49" xfId="0" applyBorder="1" applyFont="1" applyNumberFormat="1"/>
    <xf borderId="1" fillId="0" fontId="3" numFmtId="166" xfId="0" applyBorder="1" applyFont="1" applyNumberFormat="1"/>
    <xf borderId="1" fillId="0" fontId="3" numFmtId="164" xfId="0" applyBorder="1" applyFont="1" applyNumberFormat="1"/>
    <xf borderId="1" fillId="0" fontId="3" numFmtId="0" xfId="0" applyAlignment="1" applyBorder="1" applyFont="1">
      <alignment horizontal="right"/>
    </xf>
    <xf borderId="0" fillId="0" fontId="3" numFmtId="0" xfId="0" applyAlignment="1" applyFont="1">
      <alignment horizontal="right"/>
    </xf>
    <xf borderId="1" fillId="0" fontId="4" numFmtId="164" xfId="0" applyAlignment="1" applyBorder="1" applyFont="1" applyNumberFormat="1">
      <alignment shrinkToFit="0" vertical="center" wrapText="1"/>
    </xf>
    <xf borderId="1" fillId="0" fontId="4" numFmtId="165" xfId="0" applyAlignment="1" applyBorder="1" applyFont="1" applyNumberFormat="1">
      <alignment shrinkToFit="0" vertical="center" wrapText="1"/>
    </xf>
    <xf borderId="1" fillId="0" fontId="4" numFmtId="167" xfId="0" applyAlignment="1" applyBorder="1" applyFont="1" applyNumberFormat="1">
      <alignment shrinkToFit="0" vertical="center" wrapText="1"/>
    </xf>
    <xf borderId="1" fillId="0" fontId="4" numFmtId="0" xfId="0" applyAlignment="1" applyBorder="1" applyFont="1">
      <alignment horizontal="left" shrinkToFit="0" vertical="center" wrapText="0"/>
    </xf>
    <xf borderId="1" fillId="0" fontId="4" numFmtId="164" xfId="0" applyAlignment="1" applyBorder="1" applyFont="1" applyNumberFormat="1">
      <alignment shrinkToFit="0" vertical="center" wrapText="1"/>
    </xf>
    <xf borderId="1" fillId="0" fontId="4" numFmtId="165" xfId="0" applyAlignment="1" applyBorder="1" applyFont="1" applyNumberFormat="1">
      <alignment shrinkToFit="0" vertical="center" wrapText="1"/>
    </xf>
    <xf borderId="1" fillId="0" fontId="4" numFmtId="167" xfId="0" applyAlignment="1" applyBorder="1" applyFont="1" applyNumberFormat="1">
      <alignment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4" numFmtId="164" xfId="0" applyAlignment="1" applyBorder="1" applyFont="1" applyNumberFormat="1">
      <alignment shrinkToFit="0" vertical="center" wrapText="1"/>
    </xf>
    <xf borderId="2" fillId="2" fontId="9" numFmtId="0" xfId="0" applyAlignment="1" applyBorder="1" applyFont="1">
      <alignment horizontal="center" readingOrder="0" shrinkToFit="0" vertical="center" wrapText="1"/>
    </xf>
    <xf borderId="3" fillId="0" fontId="10" numFmtId="0" xfId="0" applyBorder="1" applyFont="1"/>
    <xf borderId="4" fillId="0" fontId="10" numFmtId="0" xfId="0" applyBorder="1" applyFont="1"/>
    <xf borderId="0" fillId="0" fontId="11" numFmtId="0" xfId="0" applyFont="1"/>
    <xf borderId="5" fillId="4" fontId="9" numFmtId="0" xfId="0" applyAlignment="1" applyBorder="1" applyFill="1" applyFont="1">
      <alignment horizontal="center" shrinkToFit="0" vertical="center" wrapText="1"/>
    </xf>
    <xf borderId="6" fillId="0" fontId="10" numFmtId="0" xfId="0" applyBorder="1" applyFont="1"/>
    <xf borderId="7" fillId="0" fontId="10" numFmtId="0" xfId="0" applyBorder="1" applyFont="1"/>
    <xf borderId="0" fillId="0" fontId="9" numFmtId="0" xfId="0" applyAlignment="1" applyFont="1">
      <alignment horizontal="center" readingOrder="0" shrinkToFit="0" vertical="center" wrapText="1"/>
    </xf>
    <xf borderId="8" fillId="0" fontId="10" numFmtId="0" xfId="0" applyBorder="1" applyFont="1"/>
    <xf borderId="9" fillId="0" fontId="10" numFmtId="0" xfId="0" applyBorder="1" applyFont="1"/>
    <xf borderId="10" fillId="0" fontId="10" numFmtId="0" xfId="0" applyBorder="1" applyFont="1"/>
    <xf borderId="0" fillId="0" fontId="9" numFmtId="0" xfId="0" applyAlignment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1" numFmtId="164" xfId="0" applyAlignment="1" applyBorder="1" applyFont="1" applyNumberFormat="1">
      <alignment horizontal="center" shrinkToFit="0" vertical="center" wrapText="1"/>
    </xf>
    <xf borderId="1" fillId="0" fontId="11" numFmtId="166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0"/>
    </xf>
    <xf borderId="0" fillId="0" fontId="11" numFmtId="164" xfId="0" applyAlignment="1" applyFont="1" applyNumberFormat="1">
      <alignment horizontal="center" shrinkToFit="0" vertical="center" wrapText="0"/>
    </xf>
    <xf borderId="0" fillId="0" fontId="11" numFmtId="166" xfId="0" applyAlignment="1" applyFont="1" applyNumberFormat="1">
      <alignment horizontal="center" shrinkToFit="0" vertical="center" wrapText="0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164" xfId="0" applyAlignment="1" applyBorder="1" applyFont="1" applyNumberFormat="1">
      <alignment shrinkToFit="0" vertical="center" wrapText="1"/>
    </xf>
    <xf borderId="1" fillId="0" fontId="12" numFmtId="166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10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y Hou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y Gen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th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Quarterly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Sc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I Analys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ivot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 KP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 KPI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'By House'!$A$1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'By House'!$A$2:$A$8</c:f>
            </c:strRef>
          </c:cat>
          <c:val>
            <c:numRef>
              <c:f>'By House'!$A$2:$A$8</c:f>
              <c:numCache/>
            </c:numRef>
          </c:val>
        </c:ser>
        <c:ser>
          <c:idx val="1"/>
          <c:order val="1"/>
          <c:tx>
            <c:strRef>
              <c:f>'By House'!$D$1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'By House'!$A$2:$A$8</c:f>
            </c:strRef>
          </c:cat>
          <c:val>
            <c:numRef>
              <c:f>'By House'!$D$2:$D$8</c:f>
              <c:numCache/>
            </c:numRef>
          </c:val>
        </c:ser>
        <c:ser>
          <c:idx val="2"/>
          <c:order val="2"/>
          <c:tx>
            <c:strRef>
              <c:f>'By House'!$E$1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'By House'!$A$2:$A$8</c:f>
            </c:strRef>
          </c:cat>
          <c:val>
            <c:numRef>
              <c:f>'By House'!$E$2:$E$8</c:f>
              <c:numCache/>
            </c:numRef>
          </c:val>
        </c:ser>
        <c:ser>
          <c:idx val="3"/>
          <c:order val="3"/>
          <c:tx>
            <c:strRef>
              <c:f>'By House'!$F$1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'By House'!$A$2:$A$8</c:f>
            </c:strRef>
          </c:cat>
          <c:val>
            <c:numRef>
              <c:f>'By House'!$F$2:$F$8</c:f>
              <c:numCache/>
            </c:numRef>
          </c:val>
        </c:ser>
        <c:ser>
          <c:idx val="4"/>
          <c:order val="4"/>
          <c:tx>
            <c:strRef>
              <c:f>'By House'!$G$1</c:f>
            </c:strRef>
          </c:tx>
          <c:cat>
            <c:strRef>
              <c:f>'By House'!$A$2:$A$8</c:f>
            </c:strRef>
          </c:cat>
          <c:val>
            <c:numRef>
              <c:f>'By House'!$G$2:$G$8</c:f>
              <c:numCache/>
            </c:numRef>
          </c:val>
        </c:ser>
        <c:axId val="905838944"/>
        <c:axId val="2092787058"/>
      </c:barChart>
      <c:catAx>
        <c:axId val="905838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2092787058"/>
      </c:catAx>
      <c:valAx>
        <c:axId val="2092787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905838944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'By House'!$A$1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'By House'!$A$2:$A$8</c:f>
            </c:strRef>
          </c:cat>
          <c:val>
            <c:numRef>
              <c:f>'By House'!$A$2:$A$8</c:f>
              <c:numCache/>
            </c:numRef>
          </c:val>
        </c:ser>
        <c:ser>
          <c:idx val="1"/>
          <c:order val="1"/>
          <c:tx>
            <c:strRef>
              <c:f>'By House'!$J$1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'By House'!$A$2:$A$8</c:f>
            </c:strRef>
          </c:cat>
          <c:val>
            <c:numRef>
              <c:f>'By House'!$J$2:$J$8</c:f>
              <c:numCache/>
            </c:numRef>
          </c:val>
        </c:ser>
        <c:ser>
          <c:idx val="2"/>
          <c:order val="2"/>
          <c:tx>
            <c:strRef>
              <c:f>'By House'!$K$1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'By House'!$A$2:$A$8</c:f>
            </c:strRef>
          </c:cat>
          <c:val>
            <c:numRef>
              <c:f>'By House'!$K$2:$K$8</c:f>
              <c:numCache/>
            </c:numRef>
          </c:val>
        </c:ser>
        <c:ser>
          <c:idx val="3"/>
          <c:order val="3"/>
          <c:tx>
            <c:strRef>
              <c:f>'By House'!$L$1</c:f>
            </c:strRef>
          </c:tx>
          <c:cat>
            <c:strRef>
              <c:f>'By House'!$A$2:$A$8</c:f>
            </c:strRef>
          </c:cat>
          <c:val>
            <c:numRef>
              <c:f>'By House'!$L$2:$L$8</c:f>
              <c:numCache/>
            </c:numRef>
          </c:val>
        </c:ser>
        <c:axId val="87629071"/>
        <c:axId val="206278506"/>
      </c:barChart>
      <c:catAx>
        <c:axId val="87629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278506"/>
      </c:catAx>
      <c:valAx>
        <c:axId val="2062785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6290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757575"/>
                </a:solidFill>
                <a:latin typeface="+mn-lt"/>
              </a:defRPr>
            </a:pPr>
            <a:r>
              <a:rPr b="0" sz="2400">
                <a:solidFill>
                  <a:srgbClr val="757575"/>
                </a:solidFill>
                <a:latin typeface="+mn-lt"/>
              </a:rPr>
              <a:t>ROI by House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'By House'!$H$1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'By House'!$A$2:$A$8</c:f>
            </c:strRef>
          </c:cat>
          <c:val>
            <c:numRef>
              <c:f>'By House'!$H$2:$H$8</c:f>
              <c:numCache/>
            </c:numRef>
          </c:val>
        </c:ser>
        <c:ser>
          <c:idx val="1"/>
          <c:order val="1"/>
          <c:tx>
            <c:strRef>
              <c:f>'By House'!$H$1</c:f>
            </c:strRef>
          </c:tx>
          <c:cat>
            <c:strRef>
              <c:f>'By House'!$A$2:$A$8</c:f>
            </c:strRef>
          </c:cat>
          <c:val>
            <c:numRef>
              <c:f>'By House'!$H$2:$H$8</c:f>
              <c:numCache/>
            </c:numRef>
          </c:val>
        </c:ser>
        <c:axId val="536482843"/>
        <c:axId val="553532538"/>
      </c:barChart>
      <c:catAx>
        <c:axId val="536482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House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553532538"/>
      </c:catAx>
      <c:valAx>
        <c:axId val="553532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536482843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Budget (₹ Cr) and Total Revenue (₹ Cr)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'By Genre'!$C$1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'By Genre'!$A$2:$A$15</c:f>
            </c:strRef>
          </c:cat>
          <c:val>
            <c:numRef>
              <c:f>'By Genre'!$C$2:$C$15</c:f>
              <c:numCache/>
            </c:numRef>
          </c:val>
        </c:ser>
        <c:ser>
          <c:idx val="1"/>
          <c:order val="1"/>
          <c:tx>
            <c:strRef>
              <c:f>'By Genre'!$D$1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'By Genre'!$A$2:$A$15</c:f>
            </c:strRef>
          </c:cat>
          <c:val>
            <c:numRef>
              <c:f>'By Genre'!$D$2:$D$15</c:f>
              <c:numCache/>
            </c:numRef>
          </c:val>
        </c:ser>
        <c:axId val="559271295"/>
        <c:axId val="1488844064"/>
      </c:barChart>
      <c:catAx>
        <c:axId val="559271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8844064"/>
      </c:catAx>
      <c:valAx>
        <c:axId val="14888440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92712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757575"/>
                </a:solidFill>
                <a:latin typeface="+mn-lt"/>
              </a:defRPr>
            </a:pPr>
            <a:r>
              <a:rPr b="0" sz="2400">
                <a:solidFill>
                  <a:srgbClr val="757575"/>
                </a:solidFill>
                <a:latin typeface="+mn-lt"/>
              </a:rPr>
              <a:t>Genre's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'By Genre'!$H$1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'By Genre'!$A$2:$A$15</c:f>
            </c:strRef>
          </c:cat>
          <c:val>
            <c:numRef>
              <c:f>'By Genre'!$H$2:$H$15</c:f>
              <c:numCache/>
            </c:numRef>
          </c:val>
        </c:ser>
        <c:axId val="1426745224"/>
        <c:axId val="2097602623"/>
      </c:barChart>
      <c:catAx>
        <c:axId val="1426745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Genre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2097602623"/>
      </c:catAx>
      <c:valAx>
        <c:axId val="2097602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426745224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Budget (₹ Cr), Total Box Office (₹ Cr), Total OTT (₹ Cr) and Total Revenue (₹ Cr)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Monthly!$E$1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Monthly!$B$2:$B$13</c:f>
            </c:strRef>
          </c:cat>
          <c:val>
            <c:numRef>
              <c:f>Monthly!$E$2:$E$13</c:f>
              <c:numCache/>
            </c:numRef>
          </c:val>
        </c:ser>
        <c:ser>
          <c:idx val="1"/>
          <c:order val="1"/>
          <c:tx>
            <c:strRef>
              <c:f>Monthly!$F$1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Monthly!$B$2:$B$13</c:f>
            </c:strRef>
          </c:cat>
          <c:val>
            <c:numRef>
              <c:f>Monthly!$F$2:$F$13</c:f>
              <c:numCache/>
            </c:numRef>
          </c:val>
        </c:ser>
        <c:ser>
          <c:idx val="2"/>
          <c:order val="2"/>
          <c:tx>
            <c:strRef>
              <c:f>Monthly!$G$1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Monthly!$B$2:$B$13</c:f>
            </c:strRef>
          </c:cat>
          <c:val>
            <c:numRef>
              <c:f>Monthly!$G$2:$G$13</c:f>
              <c:numCache/>
            </c:numRef>
          </c:val>
        </c:ser>
        <c:ser>
          <c:idx val="3"/>
          <c:order val="3"/>
          <c:tx>
            <c:strRef>
              <c:f>Monthly!$H$1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Monthly!$B$2:$B$13</c:f>
            </c:strRef>
          </c:cat>
          <c:val>
            <c:numRef>
              <c:f>Monthly!$H$2:$H$13</c:f>
              <c:numCache/>
            </c:numRef>
          </c:val>
        </c:ser>
        <c:axId val="1338148085"/>
        <c:axId val="1709698431"/>
      </c:barChart>
      <c:catAx>
        <c:axId val="1338148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698431"/>
      </c:catAx>
      <c:valAx>
        <c:axId val="1709698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1480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757575"/>
                </a:solidFill>
                <a:latin typeface="Arial"/>
              </a:defRPr>
            </a:pPr>
            <a:r>
              <a:rPr b="0" sz="2400">
                <a:solidFill>
                  <a:srgbClr val="757575"/>
                </a:solidFill>
                <a:latin typeface="Arial"/>
              </a:rPr>
              <a:t>Revenue by Month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Monthly!$E$1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explosion val="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Monthly!$B$2:$B$13</c:f>
            </c:strRef>
          </c:cat>
          <c:val>
            <c:numRef>
              <c:f>Monthly!$E$2:$E$13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Quarterly!$B$1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Quarterly!$A$2:$A$5</c:f>
            </c:strRef>
          </c:cat>
          <c:val>
            <c:numRef>
              <c:f>Quarterly!$B$2:$B$5</c:f>
              <c:numCache/>
            </c:numRef>
          </c:val>
        </c:ser>
        <c:ser>
          <c:idx val="1"/>
          <c:order val="1"/>
          <c:tx>
            <c:strRef>
              <c:f>Quarterly!$D$1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Quarterly!$A$2:$A$5</c:f>
            </c:strRef>
          </c:cat>
          <c:val>
            <c:numRef>
              <c:f>Quarterly!$D$2:$D$5</c:f>
              <c:numCache/>
            </c:numRef>
          </c:val>
        </c:ser>
        <c:ser>
          <c:idx val="2"/>
          <c:order val="2"/>
          <c:tx>
            <c:strRef>
              <c:f>Quarterly!$E$1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Quarterly!$A$2:$A$5</c:f>
            </c:strRef>
          </c:cat>
          <c:val>
            <c:numRef>
              <c:f>Quarterly!$E$2:$E$5</c:f>
              <c:numCache/>
            </c:numRef>
          </c:val>
        </c:ser>
        <c:ser>
          <c:idx val="3"/>
          <c:order val="3"/>
          <c:tx>
            <c:strRef>
              <c:f>Quarterly!$F$1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Quarterly!$A$2:$A$5</c:f>
            </c:strRef>
          </c:cat>
          <c:val>
            <c:numRef>
              <c:f>Quarterly!$F$2:$F$5</c:f>
              <c:numCache/>
            </c:numRef>
          </c:val>
        </c:ser>
        <c:ser>
          <c:idx val="4"/>
          <c:order val="4"/>
          <c:tx>
            <c:strRef>
              <c:f>Quarterly!$G$1</c:f>
            </c:strRef>
          </c:tx>
          <c:cat>
            <c:strRef>
              <c:f>Quarterly!$A$2:$A$5</c:f>
            </c:strRef>
          </c:cat>
          <c:val>
            <c:numRef>
              <c:f>Quarterly!$G$2:$G$5</c:f>
              <c:numCache/>
            </c:numRef>
          </c:val>
        </c:ser>
        <c:axId val="1306434783"/>
        <c:axId val="2142339643"/>
      </c:barChart>
      <c:catAx>
        <c:axId val="1306434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2339643"/>
      </c:catAx>
      <c:valAx>
        <c:axId val="21423396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6434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757575"/>
                </a:solidFill>
                <a:latin typeface="+mn-lt"/>
              </a:defRPr>
            </a:pPr>
            <a:r>
              <a:rPr b="0" sz="2400">
                <a:solidFill>
                  <a:srgbClr val="757575"/>
                </a:solidFill>
                <a:latin typeface="+mn-lt"/>
              </a:rPr>
              <a:t>% of Annual Revenue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Quarterly!$K$1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Quarterly!$A$2:$A$5</c:f>
            </c:strRef>
          </c:cat>
          <c:val>
            <c:numRef>
              <c:f>Quarterly!$K$2:$K$5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757575"/>
                </a:solidFill>
                <a:latin typeface="+mn-lt"/>
              </a:defRPr>
            </a:pPr>
            <a:r>
              <a:rPr b="0" sz="2400">
                <a:solidFill>
                  <a:srgbClr val="757575"/>
                </a:solidFill>
                <a:latin typeface="+mn-lt"/>
              </a:rPr>
              <a:t>Correlation between Score and ROI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Scores!$I$1</c:f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 line for ROI</c:name>
            <c:spPr>
              <a:ln w="3810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Scores!$F$2:$F$71</c:f>
            </c:numRef>
          </c:xVal>
          <c:yVal>
            <c:numRef>
              <c:f>Scores!$I$2:$I$71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799070"/>
        <c:axId val="1167700814"/>
      </c:scatterChart>
      <c:valAx>
        <c:axId val="20517990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Average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167700814"/>
      </c:valAx>
      <c:valAx>
        <c:axId val="1167700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Return on Investment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2051799070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Correlation between Score and ROI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Scores!$I$1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 line for ROI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Scores!$E$2:$E$71</c:f>
            </c:numRef>
          </c:xVal>
          <c:yVal>
            <c:numRef>
              <c:f>Scores!$I$2:$I$71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186575"/>
        <c:axId val="1684616975"/>
      </c:scatterChart>
      <c:valAx>
        <c:axId val="18091865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4616975"/>
      </c:valAx>
      <c:valAx>
        <c:axId val="16846169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Return on Investment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91865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757575"/>
                </a:solidFill>
                <a:latin typeface="+mn-lt"/>
              </a:defRPr>
            </a:pPr>
            <a:r>
              <a:rPr b="0" sz="2400">
                <a:solidFill>
                  <a:srgbClr val="757575"/>
                </a:solidFill>
                <a:latin typeface="+mn-lt"/>
              </a:rPr>
              <a:t>Score by Houses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Scores!$M$32:$M$33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Scores!$L$34:$L$40</c:f>
            </c:strRef>
          </c:cat>
          <c:val>
            <c:numRef>
              <c:f>Scores!$M$34:$M$40</c:f>
              <c:numCache/>
            </c:numRef>
          </c:val>
        </c:ser>
        <c:ser>
          <c:idx val="1"/>
          <c:order val="1"/>
          <c:tx>
            <c:strRef>
              <c:f>Scores!$N$32:$N$33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Scores!$L$34:$L$40</c:f>
            </c:strRef>
          </c:cat>
          <c:val>
            <c:numRef>
              <c:f>Scores!$N$34:$N$40</c:f>
              <c:numCache/>
            </c:numRef>
          </c:val>
        </c:ser>
        <c:ser>
          <c:idx val="2"/>
          <c:order val="2"/>
          <c:tx>
            <c:strRef>
              <c:f>Scores!$O$32:$O$33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Scores!$L$34:$L$40</c:f>
            </c:strRef>
          </c:cat>
          <c:val>
            <c:numRef>
              <c:f>Scores!$O$34:$O$40</c:f>
              <c:numCache/>
            </c:numRef>
          </c:val>
        </c:ser>
        <c:ser>
          <c:idx val="3"/>
          <c:order val="3"/>
          <c:tx>
            <c:strRef>
              <c:f>Scores!$P$32:$P$33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Scores!$L$34:$L$40</c:f>
            </c:strRef>
          </c:cat>
          <c:val>
            <c:numRef>
              <c:f>Scores!$P$34:$P$40</c:f>
              <c:numCache/>
            </c:numRef>
          </c:val>
        </c:ser>
        <c:overlap val="100"/>
        <c:axId val="907159854"/>
        <c:axId val="961557114"/>
      </c:barChart>
      <c:catAx>
        <c:axId val="907159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House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961557114"/>
      </c:catAx>
      <c:valAx>
        <c:axId val="9615571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907159854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Break Even, Loss and Profitable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'ROI Analysis'!$L$41:$L$42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'ROI Analysis'!$K$43:$K$49</c:f>
            </c:strRef>
          </c:cat>
          <c:val>
            <c:numRef>
              <c:f>'ROI Analysis'!$L$43:$L$49</c:f>
              <c:numCache/>
            </c:numRef>
          </c:val>
        </c:ser>
        <c:ser>
          <c:idx val="1"/>
          <c:order val="1"/>
          <c:tx>
            <c:strRef>
              <c:f>'ROI Analysis'!$M$41:$M$42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'ROI Analysis'!$K$43:$K$49</c:f>
            </c:strRef>
          </c:cat>
          <c:val>
            <c:numRef>
              <c:f>'ROI Analysis'!$M$43:$M$49</c:f>
              <c:numCache/>
            </c:numRef>
          </c:val>
        </c:ser>
        <c:ser>
          <c:idx val="2"/>
          <c:order val="2"/>
          <c:tx>
            <c:strRef>
              <c:f>'ROI Analysis'!$N$41:$N$42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'ROI Analysis'!$K$43:$K$49</c:f>
            </c:strRef>
          </c:cat>
          <c:val>
            <c:numRef>
              <c:f>'ROI Analysis'!$N$43:$N$49</c:f>
              <c:numCache/>
            </c:numRef>
          </c:val>
        </c:ser>
        <c:overlap val="100"/>
        <c:axId val="1856889059"/>
        <c:axId val="1028160320"/>
      </c:barChart>
      <c:catAx>
        <c:axId val="1856889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160320"/>
      </c:catAx>
      <c:valAx>
        <c:axId val="10281603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68890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'Pivot Summary'!$F$1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Summary'!$A$2:$A$8</c:f>
            </c:strRef>
          </c:cat>
          <c:val>
            <c:numRef>
              <c:f>'Pivot Summary'!$F$2:$F$8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Q1, Q2, Q3, Q4 and Annual Total</a:t>
            </a:r>
          </a:p>
        </c:rich>
      </c:tx>
      <c:overlay val="0"/>
    </c:title>
    <c:plotArea>
      <c:layout/>
      <c:areaChart>
        <c:grouping val="percentStacked"/>
        <c:ser>
          <c:idx val="0"/>
          <c:order val="0"/>
          <c:tx>
            <c:strRef>
              <c:f>'Pivot Summary'!$B$1</c:f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cat>
            <c:strRef>
              <c:f>'Pivot Summary'!$A$2:$A$8</c:f>
            </c:strRef>
          </c:cat>
          <c:val>
            <c:numRef>
              <c:f>'Pivot Summary'!$B$2:$B$8</c:f>
              <c:numCache/>
            </c:numRef>
          </c:val>
        </c:ser>
        <c:ser>
          <c:idx val="1"/>
          <c:order val="1"/>
          <c:tx>
            <c:strRef>
              <c:f>'Pivot Summary'!$C$1</c:f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cat>
            <c:strRef>
              <c:f>'Pivot Summary'!$A$2:$A$8</c:f>
            </c:strRef>
          </c:cat>
          <c:val>
            <c:numRef>
              <c:f>'Pivot Summary'!$C$2:$C$8</c:f>
              <c:numCache/>
            </c:numRef>
          </c:val>
        </c:ser>
        <c:ser>
          <c:idx val="2"/>
          <c:order val="2"/>
          <c:tx>
            <c:strRef>
              <c:f>'Pivot Summary'!$D$1</c:f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cat>
            <c:strRef>
              <c:f>'Pivot Summary'!$A$2:$A$8</c:f>
            </c:strRef>
          </c:cat>
          <c:val>
            <c:numRef>
              <c:f>'Pivot Summary'!$D$2:$D$8</c:f>
              <c:numCache/>
            </c:numRef>
          </c:val>
        </c:ser>
        <c:ser>
          <c:idx val="3"/>
          <c:order val="3"/>
          <c:tx>
            <c:strRef>
              <c:f>'Pivot Summary'!$E$1</c:f>
            </c:strRef>
          </c:tx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cat>
            <c:strRef>
              <c:f>'Pivot Summary'!$A$2:$A$8</c:f>
            </c:strRef>
          </c:cat>
          <c:val>
            <c:numRef>
              <c:f>'Pivot Summary'!$E$2:$E$8</c:f>
              <c:numCache/>
            </c:numRef>
          </c:val>
        </c:ser>
        <c:axId val="1991491445"/>
        <c:axId val="286305781"/>
      </c:areaChart>
      <c:catAx>
        <c:axId val="1991491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House / 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6305781"/>
      </c:catAx>
      <c:valAx>
        <c:axId val="2863057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4914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3.png"/><Relationship Id="rId2" Type="http://schemas.openxmlformats.org/officeDocument/2006/relationships/image" Target="../media/Chart14.png"/><Relationship Id="rId3" Type="http://schemas.openxmlformats.org/officeDocument/2006/relationships/image" Target="../media/Chart15.png"/><Relationship Id="rId4" Type="http://schemas.openxmlformats.org/officeDocument/2006/relationships/chart" Target="../charts/chart1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161925</xdr:rowOff>
    </xdr:from>
    <xdr:ext cx="8353425" cy="5486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400050</xdr:colOff>
      <xdr:row>10</xdr:row>
      <xdr:rowOff>161925</xdr:rowOff>
    </xdr:from>
    <xdr:ext cx="835342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38</xdr:row>
      <xdr:rowOff>142875</xdr:rowOff>
    </xdr:from>
    <xdr:ext cx="6705600" cy="30670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47625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1543050</xdr:colOff>
      <xdr:row>16</xdr:row>
      <xdr:rowOff>47625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180975</xdr:rowOff>
    </xdr:from>
    <xdr:ext cx="843915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1333500</xdr:colOff>
      <xdr:row>14</xdr:row>
      <xdr:rowOff>180975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9525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1085850</xdr:colOff>
      <xdr:row>7</xdr:row>
      <xdr:rowOff>9525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180975</xdr:colOff>
      <xdr:row>1</xdr:row>
      <xdr:rowOff>0</xdr:rowOff>
    </xdr:from>
    <xdr:ext cx="7943850" cy="50101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180975</xdr:colOff>
      <xdr:row>15</xdr:row>
      <xdr:rowOff>171450</xdr:rowOff>
    </xdr:from>
    <xdr:ext cx="6534150" cy="41148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41</xdr:row>
      <xdr:rowOff>57150</xdr:rowOff>
    </xdr:from>
    <xdr:ext cx="6972300" cy="43148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342900</xdr:colOff>
      <xdr:row>0</xdr:row>
      <xdr:rowOff>0</xdr:rowOff>
    </xdr:from>
    <xdr:ext cx="5715000" cy="3533775"/>
    <xdr:pic>
      <xdr:nvPicPr>
        <xdr:cNvPr id="1963858315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13</xdr:row>
      <xdr:rowOff>152400</xdr:rowOff>
    </xdr:from>
    <xdr:ext cx="5715000" cy="3533775"/>
    <xdr:pic>
      <xdr:nvPicPr>
        <xdr:cNvPr id="1704502640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26</xdr:row>
      <xdr:rowOff>28575</xdr:rowOff>
    </xdr:from>
    <xdr:ext cx="5715000" cy="3533775"/>
    <xdr:pic>
      <xdr:nvPicPr>
        <xdr:cNvPr id="937541526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50</xdr:row>
      <xdr:rowOff>200025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0</xdr:row>
      <xdr:rowOff>0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114300</xdr:colOff>
      <xdr:row>9</xdr:row>
      <xdr:rowOff>114300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71" sheet="Scores"/>
  </cacheSource>
  <cacheFields>
    <cacheField name="Title">
      <sharedItems containsMixedTypes="1" containsNumber="1" containsInteger="1">
        <s v="Kantara: Chapter 1"/>
        <s v="Lokah Chapter 1: Chandra"/>
        <s v="Mahavatar Narsimha"/>
        <s v="Sitaare Zameen Par"/>
        <s v="Lahari"/>
        <s v="Bou Buttu Bhuta"/>
        <s v="Tourist Family"/>
        <s v="Nanda Master'nka Chatasali"/>
        <s v="Dragon"/>
        <s v="Dhurandhar"/>
        <s v="Su From So"/>
        <s v="They Call Him OG"/>
        <s v="Thudarum"/>
        <s v="HIT: The Third Case"/>
        <s v="Chhaava"/>
        <s v="Mirai"/>
        <s v="Bison"/>
        <s v="Alappuzha Gymkhana"/>
        <s v="Charidham"/>
        <s v="Shri Jagannath Nka Nabakalebara"/>
        <s v="Sir"/>
        <s v="Sankranthiki Vasthunam"/>
        <s v="Thalaivan Thalaivii"/>
        <s v="Sarvam Maya"/>
        <s v="Sardaar Ji 3"/>
        <s v="Saiyaara"/>
        <s v="Dies Irae"/>
        <s v="Dude"/>
        <s v="Akaal: The Unconquered"/>
        <s v="Rekhachithram"/>
        <n v="45.0"/>
        <s v="Kalamkaval"/>
        <s v="Kuberaa"/>
        <s v="Coolie"/>
        <s v="Guru Nanak Jahaz"/>
        <s v="Raid 2"/>
        <s v="Maadeva"/>
        <s v="Pade Akasha"/>
        <s v="Sarbala Ji"/>
        <s v="Ajira Rebati"/>
        <s v="Saunkan Saunkanay 2"/>
        <s v="Officer on Duty"/>
        <s v="Thandel"/>
        <s v="Badnaam"/>
        <s v="Yuddhakaanda 2"/>
        <s v="Good Bad Ugly"/>
        <s v="Mark"/>
        <s v="Majhail"/>
        <s v="Vidaamuyarchi"/>
        <s v="Adrushya"/>
        <s v="Bholaa"/>
        <s v="Daaku Maharaaj"/>
        <s v="Ikk Kudi"/>
        <s v="Sky Force"/>
        <s v="Nikka Zaildar 4"/>
        <s v="Phaphey Kuttniyan"/>
        <s v="Ekka"/>
        <s v="Bhai"/>
        <s v="Hridayapoorvam"/>
        <s v="Madharaasi"/>
        <s v="Brat"/>
        <s v="L2: Empuraan"/>
        <s v="Choo Mantar"/>
        <s v="The Devil"/>
        <s v="Kingdom"/>
        <s v="Game Changer"/>
        <s v="War 2"/>
        <s v="Housefull 5"/>
        <s v="Hari Hara Veera Mallu"/>
        <s v="Thug Life"/>
      </sharedItems>
    </cacheField>
    <cacheField name="House" numFmtId="49">
      <sharedItems>
        <s v="Sandalwood"/>
        <s v="Mollywood"/>
        <s v="Bollywood"/>
        <s v="Oollywood"/>
        <s v="Kollywood"/>
        <s v="Tollywood"/>
        <s v="Pollywood"/>
      </sharedItems>
    </cacheField>
    <cacheField name="Quarter" numFmtId="49">
      <sharedItems>
        <s v="Q4"/>
        <s v="Q3"/>
        <s v="Q2"/>
        <s v="Q1"/>
      </sharedItems>
    </cacheField>
    <cacheField name="Critic Score" numFmtId="166">
      <sharedItems containsSemiMixedTypes="0" containsString="0" containsNumber="1">
        <n v="9.2"/>
        <n v="8.8"/>
        <n v="8.5"/>
        <n v="8.2"/>
        <n v="8.0"/>
        <n v="8.4"/>
        <n v="7.8"/>
        <n v="7.5"/>
        <n v="7.6"/>
        <n v="7.4"/>
        <n v="7.0"/>
        <n v="7.2"/>
        <n v="6.5"/>
        <n v="6.8"/>
        <n v="6.0"/>
        <n v="6.2"/>
        <n v="5.8"/>
        <n v="5.5"/>
        <n v="5.2"/>
        <n v="4.8"/>
        <n v="4.5"/>
        <n v="3.2"/>
        <n v="4.2"/>
        <n v="4.0"/>
      </sharedItems>
    </cacheField>
    <cacheField name="Audience Score" numFmtId="166">
      <sharedItems containsSemiMixedTypes="0" containsString="0" containsNumber="1">
        <n v="9.6"/>
        <n v="9.3"/>
        <n v="9.2"/>
        <n v="8.9"/>
        <n v="9.4"/>
        <n v="9.0"/>
        <n v="9.1"/>
        <n v="8.8"/>
        <n v="8.7"/>
        <n v="8.5"/>
        <n v="8.2"/>
        <n v="8.0"/>
        <n v="8.4"/>
        <n v="8.1"/>
        <n v="7.9"/>
        <n v="7.8"/>
        <n v="7.5"/>
        <n v="7.1"/>
        <n v="7.4"/>
        <n v="7.0"/>
        <n v="7.2"/>
        <n v="4.9"/>
        <n v="6.8"/>
        <n v="6.5"/>
        <n v="6.4"/>
        <n v="6.2"/>
        <n v="5.8"/>
        <n v="6.1"/>
        <n v="4.8"/>
      </sharedItems>
    </cacheField>
    <cacheField name="Avg Score" numFmtId="166">
      <sharedItems containsSemiMixedTypes="0" containsString="0" containsNumber="1">
        <n v="9.399999999999999"/>
        <n v="9.05"/>
        <n v="8.85"/>
        <n v="8.850000000000001"/>
        <n v="8.8"/>
        <n v="8.75"/>
        <n v="8.7"/>
        <n v="8.649999999999999"/>
        <n v="8.65"/>
        <n v="8.6"/>
        <n v="8.5"/>
        <n v="8.45"/>
        <n v="8.3"/>
        <n v="8.25"/>
        <n v="8.15"/>
        <n v="8.1"/>
        <n v="8.05"/>
        <n v="8.0"/>
        <n v="7.95"/>
        <n v="7.949999999999999"/>
        <n v="7.9"/>
        <n v="7.85"/>
        <n v="7.75"/>
        <n v="7.65"/>
        <n v="7.550000000000001"/>
        <n v="7.5"/>
        <n v="7.4"/>
        <n v="7.35"/>
        <n v="7.25"/>
        <n v="7.15"/>
        <n v="7.1"/>
        <n v="6.95"/>
        <n v="6.9"/>
        <n v="6.85"/>
        <n v="6.8"/>
        <n v="6.75"/>
        <n v="6.7"/>
        <n v="6.6"/>
        <n v="6.55"/>
        <n v="6.5"/>
        <n v="6.4"/>
        <n v="6.3"/>
        <n v="6.25"/>
        <n v="6.2"/>
        <n v="6.1"/>
        <n v="6.0"/>
        <n v="5.85"/>
        <n v="5.65"/>
        <n v="5.449999999999999"/>
        <n v="5.35"/>
        <n v="4.5"/>
        <n v="4.4"/>
      </sharedItems>
    </cacheField>
    <cacheField name="Budget (₹ Cr)" numFmtId="164">
      <sharedItems containsSemiMixedTypes="0" containsString="0" containsNumber="1">
        <n v="125.0"/>
        <n v="30.0"/>
        <n v="40.0"/>
        <n v="100.0"/>
        <n v="10.0"/>
        <n v="2.5"/>
        <n v="7.0"/>
        <n v="8.0"/>
        <n v="37.0"/>
        <n v="250.0"/>
        <n v="12.0"/>
        <n v="250.4"/>
        <n v="15.0"/>
        <n v="70.0"/>
        <n v="130.4"/>
        <n v="60.0"/>
        <n v="22.0"/>
        <n v="25.0"/>
        <n v="51.2"/>
        <n v="18.0"/>
        <n v="45.4"/>
        <n v="28.0"/>
        <n v="120.0"/>
        <n v="375.0"/>
        <n v="90.0"/>
        <n v="13.0"/>
        <n v="85.0"/>
        <n v="4.5"/>
        <n v="270.0"/>
        <n v="45.0"/>
        <n v="6.0"/>
        <n v="200.0"/>
        <n v="305.3"/>
        <n v="5.0"/>
        <n v="160.0"/>
        <n v="4.0"/>
        <n v="180.0"/>
        <n v="50.0"/>
        <n v="130.0"/>
        <n v="400.0"/>
        <n v="225.0"/>
      </sharedItems>
    </cacheField>
    <cacheField name="Total Revenue (₹ Cr)" numFmtId="164">
      <sharedItems containsSemiMixedTypes="0" containsString="0" containsNumber="1">
        <n v="955.0"/>
        <n v="359.0"/>
        <n v="351.82"/>
        <n v="346.49"/>
        <n v="28.0"/>
        <n v="25.5"/>
        <n v="108.0"/>
        <n v="17.0"/>
        <n v="189.0"/>
        <n v="1437.35"/>
        <n v="146.0"/>
        <n v="403.2"/>
        <n v="257.0"/>
        <n v="174.0"/>
        <n v="899.0"/>
        <n v="181.0"/>
        <n v="97.0"/>
        <n v="87.0"/>
        <n v="50.0"/>
        <n v="54.0"/>
        <n v="36.0"/>
        <n v="360.0"/>
        <n v="130.0"/>
        <n v="140.0"/>
        <n v="85.1"/>
        <n v="604.8"/>
        <n v="111.0"/>
        <n v="139.0"/>
        <n v="12.2"/>
        <n v="71.0"/>
        <n v="56.0"/>
        <n v="105.0"/>
        <n v="184.0"/>
        <n v="648.0"/>
        <n v="40.0"/>
        <n v="308.0"/>
        <n v="13.0"/>
        <n v="42.0"/>
        <n v="29.2"/>
        <n v="26.0"/>
        <n v="39.9"/>
        <n v="65.0"/>
        <n v="145.0"/>
        <n v="10.1"/>
        <n v="60.0"/>
        <n v="343.0"/>
        <n v="57.0"/>
        <n v="11.0"/>
        <n v="236.0"/>
        <n v="785.9000000000001"/>
        <n v="152.0"/>
        <n v="16.3"/>
        <n v="238.88"/>
        <n v="8.45"/>
        <n v="5.6"/>
        <n v="19.0"/>
        <n v="21.0"/>
        <n v="94.0"/>
        <n v="160.0"/>
        <n v="10.0"/>
        <n v="333.0"/>
        <n v="67.0"/>
        <n v="132.0"/>
        <n v="291.0"/>
        <n v="501.0"/>
        <n v="332.8"/>
        <n v="207.0"/>
      </sharedItems>
    </cacheField>
    <cacheField name="ROI" numFmtId="165">
      <sharedItems containsSemiMixedTypes="0" containsString="0" containsNumber="1">
        <n v="7.64"/>
        <n v="11.966666666666667"/>
        <n v="8.7955"/>
        <n v="3.4649"/>
        <n v="2.8"/>
        <n v="10.2"/>
        <n v="15.428571428571429"/>
        <n v="2.125"/>
        <n v="5.108108108108108"/>
        <n v="5.7494"/>
        <n v="12.166666666666666"/>
        <n v="1.6102236421725238"/>
        <n v="17.133333333333333"/>
        <n v="2.4857142857142858"/>
        <n v="6.894171779141104"/>
        <n v="3.0166666666666666"/>
        <n v="3.2333333333333334"/>
        <n v="10.875"/>
        <n v="2.272727272727273"/>
        <n v="2.16"/>
        <n v="3.0"/>
        <n v="7.03125"/>
        <n v="5.2"/>
        <n v="7.777777777777778"/>
        <n v="5.673333333333333"/>
        <n v="13.3215859030837"/>
        <n v="4.44"/>
        <n v="4.633333333333334"/>
        <n v="1.22"/>
        <n v="5.916666666666667"/>
        <n v="0.8"/>
        <n v="3.75"/>
        <n v="1.5333333333333334"/>
        <n v="1.728"/>
        <n v="2.2222222222222223"/>
        <n v="3.422222222222222"/>
        <n v="1.3"/>
        <n v="1.68"/>
        <n v="1.168"/>
        <n v="1.7333333333333334"/>
        <n v="3.9899999999999998"/>
        <n v="5.0"/>
        <n v="1.7058823529411764"/>
        <n v="2.2444444444444445"/>
        <n v="6.0"/>
        <n v="1.2703703703703704"/>
        <n v="1.2666666666666666"/>
        <n v="1.8333333333333333"/>
        <n v="1.18"/>
        <n v="2.5741893219783822"/>
        <n v="1.52"/>
        <n v="3.2600000000000002"/>
        <n v="1.4929999999999999"/>
        <n v="2.1125"/>
        <n v="1.4"/>
        <n v="1.1666666666666667"/>
        <n v="3.1333333333333333"/>
        <n v="0.8888888888888888"/>
        <n v="1.25"/>
        <n v="2.08125"/>
        <n v="1.0833333333333333"/>
        <n v="1.34"/>
        <n v="1.0153846153846153"/>
        <n v="0.7275"/>
        <n v="1.2525"/>
        <n v="1.4791111111111113"/>
        <n v="0.696"/>
        <n v="0.828"/>
      </sharedItems>
    </cacheField>
    <cacheField name="Score Tier" numFmtId="49">
      <sharedItems>
        <s v="Blockbuster"/>
        <s v="Hit"/>
        <s v="Average"/>
        <s v="Flop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71" sheet="ROI Analysis"/>
  </cacheSource>
  <cacheFields>
    <cacheField name="Title">
      <sharedItems containsMixedTypes="1" containsNumber="1" containsInteger="1">
        <s v="Thudarum"/>
        <s v="Tourist Family"/>
        <s v="Saiyaara"/>
        <s v="Su From So"/>
        <s v="Lokah Chapter 1: Chandra"/>
        <s v="Alappuzha Gymkhana"/>
        <s v="Bou Buttu Bhuta"/>
        <s v="Mahavatar Narsimha"/>
        <s v="Sarvam Maya"/>
        <s v="Kantara: Chapter 1"/>
        <s v="Sankranthiki Vasthunam"/>
        <s v="Chhaava"/>
        <s v="Yuddhakaanda 2"/>
        <s v="Rekhachithram"/>
        <s v="Dhurandhar"/>
        <s v="Sardaar Ji 3"/>
        <s v="Thalaivan Thalaivii"/>
        <s v="Dragon"/>
        <s v="Officer on Duty"/>
        <s v="Dude"/>
        <s v="Dies Irae"/>
        <s v="Saunkan Saunkanay 2"/>
        <s v="Kalamkaval"/>
        <s v="Sitaare Zameen Par"/>
        <s v="Raid 2"/>
        <s v="Ikk Kudi"/>
        <s v="Bison"/>
        <s v="Hridayapoorvam"/>
        <s v="Mirai"/>
        <s v="Sir"/>
        <s v="Lahari"/>
        <s v="Bholaa"/>
        <s v="HIT: The Third Case"/>
        <s v="Charidham"/>
        <s v="Badnaam"/>
        <s v="Guru Nanak Jahaz"/>
        <s v="Shri Jagannath Nka Nabakalebara"/>
        <s v="Nanda Master'nka Chatasali"/>
        <s v="Nikka Zaildar 4"/>
        <s v="L2: Empuraan"/>
        <s v="Majhail"/>
        <s v="Ajira Rebati"/>
        <s v="Coolie"/>
        <s v="Thandel"/>
        <s v="Pade Akasha"/>
        <s v="They Call Him OG"/>
        <s v="Kuberaa"/>
        <s v="Daaku Maharaaj"/>
        <s v="Sky Force"/>
        <s v="Housefull 5"/>
        <s v="Phaphey Kuttniyan"/>
        <s v="The Devil"/>
        <s v="Adrushya"/>
        <s v="Maadeva"/>
        <s v="Good Bad Ugly"/>
        <s v="Ekka"/>
        <s v="Mark"/>
        <s v="War 2"/>
        <s v="Brat"/>
        <s v="Akaal: The Unconquered"/>
        <s v="Vidaamuyarchi"/>
        <s v="Sarbala Ji"/>
        <s v="Bhai"/>
        <s v="Choo Mantar"/>
        <s v="Kingdom"/>
        <s v="Madharaasi"/>
        <s v="Thug Life"/>
        <n v="45.0"/>
        <s v="Game Changer"/>
        <s v="Hari Hara Veera Mallu"/>
      </sharedItems>
    </cacheField>
    <cacheField name="House" numFmtId="49">
      <sharedItems>
        <s v="Mollywood"/>
        <s v="Kollywood"/>
        <s v="Bollywood"/>
        <s v="Sandalwood"/>
        <s v="Oollywood"/>
        <s v="Tollywood"/>
        <s v="Pollywood"/>
      </sharedItems>
    </cacheField>
    <cacheField name="Quarter" numFmtId="49">
      <sharedItems>
        <s v="Q2"/>
        <s v="Q1"/>
        <s v="Q3"/>
        <s v="Q4"/>
      </sharedItems>
    </cacheField>
    <cacheField name="Budget (₹ Cr)" numFmtId="164">
      <sharedItems containsSemiMixedTypes="0" containsString="0" containsNumber="1">
        <n v="15.0"/>
        <n v="7.0"/>
        <n v="45.4"/>
        <n v="12.0"/>
        <n v="30.0"/>
        <n v="8.0"/>
        <n v="2.5"/>
        <n v="40.0"/>
        <n v="18.0"/>
        <n v="125.0"/>
        <n v="51.2"/>
        <n v="130.4"/>
        <n v="10.0"/>
        <n v="250.0"/>
        <n v="25.0"/>
        <n v="37.0"/>
        <n v="13.0"/>
        <n v="28.0"/>
        <n v="100.0"/>
        <n v="90.0"/>
        <n v="5.0"/>
        <n v="60.0"/>
        <n v="305.3"/>
        <n v="70.0"/>
        <n v="22.0"/>
        <n v="4.5"/>
        <n v="4.0"/>
        <n v="160.0"/>
        <n v="6.0"/>
        <n v="375.0"/>
        <n v="85.0"/>
        <n v="250.4"/>
        <n v="120.0"/>
        <n v="225.0"/>
        <n v="50.0"/>
        <n v="270.0"/>
        <n v="45.0"/>
        <n v="400.0"/>
        <n v="200.0"/>
        <n v="130.0"/>
        <n v="180.0"/>
      </sharedItems>
    </cacheField>
    <cacheField name="Total Revenue (₹ Cr)" numFmtId="164">
      <sharedItems containsSemiMixedTypes="0" containsString="0" containsNumber="1">
        <n v="257.0"/>
        <n v="108.0"/>
        <n v="604.8"/>
        <n v="146.0"/>
        <n v="359.0"/>
        <n v="87.0"/>
        <n v="25.5"/>
        <n v="351.82"/>
        <n v="140.0"/>
        <n v="955.0"/>
        <n v="360.0"/>
        <n v="899.0"/>
        <n v="60.0"/>
        <n v="71.0"/>
        <n v="1437.35"/>
        <n v="85.1"/>
        <n v="130.0"/>
        <n v="189.0"/>
        <n v="65.0"/>
        <n v="139.0"/>
        <n v="111.0"/>
        <n v="39.9"/>
        <n v="105.0"/>
        <n v="346.49"/>
        <n v="308.0"/>
        <n v="16.3"/>
        <n v="97.0"/>
        <n v="94.0"/>
        <n v="181.0"/>
        <n v="36.0"/>
        <n v="28.0"/>
        <n v="785.9000000000001"/>
        <n v="174.0"/>
        <n v="50.0"/>
        <n v="10.1"/>
        <n v="40.0"/>
        <n v="54.0"/>
        <n v="17.0"/>
        <n v="8.45"/>
        <n v="333.0"/>
        <n v="11.0"/>
        <n v="26.0"/>
        <n v="648.0"/>
        <n v="145.0"/>
        <n v="42.0"/>
        <n v="403.2"/>
        <n v="184.0"/>
        <n v="152.0"/>
        <n v="238.88"/>
        <n v="332.8"/>
        <n v="5.6"/>
        <n v="67.0"/>
        <n v="13.0"/>
        <n v="343.0"/>
        <n v="19.0"/>
        <n v="57.0"/>
        <n v="501.0"/>
        <n v="10.0"/>
        <n v="12.2"/>
        <n v="236.0"/>
        <n v="29.2"/>
        <n v="21.0"/>
        <n v="132.0"/>
        <n v="160.0"/>
        <n v="207.0"/>
        <n v="56.0"/>
        <n v="291.0"/>
      </sharedItems>
    </cacheField>
    <cacheField name="ROI (x)" numFmtId="165">
      <sharedItems containsSemiMixedTypes="0" containsString="0" containsNumber="1">
        <n v="17.133333333333333"/>
        <n v="15.428571428571429"/>
        <n v="13.3215859030837"/>
        <n v="12.166666666666666"/>
        <n v="11.966666666666667"/>
        <n v="10.875"/>
        <n v="10.2"/>
        <n v="8.7955"/>
        <n v="7.777777777777778"/>
        <n v="7.64"/>
        <n v="7.03125"/>
        <n v="6.894171779141104"/>
        <n v="6.0"/>
        <n v="5.916666666666667"/>
        <n v="5.7494"/>
        <n v="5.673333333333333"/>
        <n v="5.2"/>
        <n v="5.108108108108108"/>
        <n v="5.0"/>
        <n v="4.633333333333334"/>
        <n v="4.44"/>
        <n v="3.9899999999999998"/>
        <n v="3.75"/>
        <n v="3.4649"/>
        <n v="3.422222222222222"/>
        <n v="3.2600000000000002"/>
        <n v="3.2333333333333334"/>
        <n v="3.1333333333333333"/>
        <n v="3.0166666666666666"/>
        <n v="3.0"/>
        <n v="2.8"/>
        <n v="2.5741893219783822"/>
        <n v="2.4857142857142858"/>
        <n v="2.272727272727273"/>
        <n v="2.2444444444444445"/>
        <n v="2.2222222222222223"/>
        <n v="2.16"/>
        <n v="2.125"/>
        <n v="2.1125"/>
        <n v="2.08125"/>
        <n v="1.8333333333333333"/>
        <n v="1.7333333333333334"/>
        <n v="1.728"/>
        <n v="1.7058823529411764"/>
        <n v="1.68"/>
        <n v="1.6102236421725238"/>
        <n v="1.5333333333333334"/>
        <n v="1.52"/>
        <n v="1.4929999999999999"/>
        <n v="1.4791111111111113"/>
        <n v="1.4"/>
        <n v="1.34"/>
        <n v="1.3"/>
        <n v="1.2703703703703704"/>
        <n v="1.2666666666666666"/>
        <n v="1.2525"/>
        <n v="1.25"/>
        <n v="1.22"/>
        <n v="1.18"/>
        <n v="1.168"/>
        <n v="1.1666666666666667"/>
        <n v="1.0833333333333333"/>
        <n v="1.0153846153846153"/>
        <n v="0.8888888888888888"/>
        <n v="0.828"/>
        <n v="0.8"/>
        <n v="0.7275"/>
        <n v="0.696"/>
      </sharedItems>
    </cacheField>
    <cacheField name="Gross Profit (₹ Cr)" numFmtId="164">
      <sharedItems containsSemiMixedTypes="0" containsString="0" containsNumber="1">
        <n v="242.0"/>
        <n v="101.0"/>
        <n v="559.4"/>
        <n v="134.0"/>
        <n v="329.0"/>
        <n v="79.0"/>
        <n v="23.0"/>
        <n v="311.82"/>
        <n v="122.0"/>
        <n v="830.0"/>
        <n v="308.8"/>
        <n v="768.6"/>
        <n v="50.0"/>
        <n v="59.0"/>
        <n v="1187.35"/>
        <n v="70.1"/>
        <n v="105.0"/>
        <n v="152.0"/>
        <n v="52.0"/>
        <n v="109.0"/>
        <n v="86.0"/>
        <n v="29.9"/>
        <n v="77.0"/>
        <n v="246.49"/>
        <n v="218.0"/>
        <n v="11.3"/>
        <n v="67.0"/>
        <n v="64.0"/>
        <n v="121.0"/>
        <n v="24.0"/>
        <n v="18.0"/>
        <n v="480.6000000000001"/>
        <n v="104.0"/>
        <n v="28.0"/>
        <n v="5.6"/>
        <n v="22.0"/>
        <n v="29.0"/>
        <n v="9.0"/>
        <n v="4.449999999999999"/>
        <n v="173.0"/>
        <n v="5.0"/>
        <n v="11.0"/>
        <n v="273.0"/>
        <n v="60.0"/>
        <n v="17.0"/>
        <n v="152.79999999999998"/>
        <n v="78.88"/>
        <n v="107.80000000000001"/>
        <n v="1.5999999999999996"/>
        <n v="3.0"/>
        <n v="73.0"/>
        <n v="4.0"/>
        <n v="12.0"/>
        <n v="2.0"/>
        <n v="2.1999999999999993"/>
        <n v="36.0"/>
        <n v="4.199999999999999"/>
        <n v="1.0"/>
        <n v="-20.0"/>
        <n v="-43.0"/>
        <n v="-14.0"/>
        <n v="-109.0"/>
        <n v="-76.0"/>
      </sharedItems>
    </cacheField>
    <cacheField name="Return %" numFmtId="167">
      <sharedItems containsSemiMixedTypes="0" containsString="0" containsNumber="1">
        <n v="16.133333333333333"/>
        <n v="14.428571428571429"/>
        <n v="12.321585903083701"/>
        <n v="11.166666666666666"/>
        <n v="10.966666666666667"/>
        <n v="9.875"/>
        <n v="9.2"/>
        <n v="7.7955"/>
        <n v="6.777777777777778"/>
        <n v="6.64"/>
        <n v="6.03125"/>
        <n v="5.894171779141105"/>
        <n v="5.0"/>
        <n v="4.916666666666667"/>
        <n v="4.7494"/>
        <n v="4.673333333333333"/>
        <n v="4.2"/>
        <n v="4.108108108108108"/>
        <n v="4.0"/>
        <n v="3.6333333333333333"/>
        <n v="3.44"/>
        <n v="2.9899999999999998"/>
        <n v="2.75"/>
        <n v="2.4649"/>
        <n v="2.422222222222222"/>
        <n v="2.2600000000000002"/>
        <n v="2.2333333333333334"/>
        <n v="2.1333333333333333"/>
        <n v="2.0166666666666666"/>
        <n v="2.0"/>
        <n v="1.8"/>
        <n v="1.574189321978382"/>
        <n v="1.4857142857142858"/>
        <n v="1.2727272727272727"/>
        <n v="1.2444444444444445"/>
        <n v="1.2222222222222223"/>
        <n v="1.16"/>
        <n v="1.125"/>
        <n v="1.1124999999999998"/>
        <n v="1.08125"/>
        <n v="0.8333333333333334"/>
        <n v="0.7333333333333333"/>
        <n v="0.728"/>
        <n v="0.7058823529411765"/>
        <n v="0.68"/>
        <n v="0.6102236421725239"/>
        <n v="0.5333333333333333"/>
        <n v="0.52"/>
        <n v="0.493"/>
        <n v="0.47911111111111115"/>
        <n v="0.3999999999999999"/>
        <n v="0.34"/>
        <n v="0.3"/>
        <n v="0.27037037037037037"/>
        <n v="0.26666666666666666"/>
        <n v="0.2525"/>
        <n v="0.25"/>
        <n v="0.21999999999999992"/>
        <n v="0.18"/>
        <n v="0.16799999999999998"/>
        <n v="0.16666666666666666"/>
        <n v="0.08333333333333333"/>
        <n v="0.015384615384615385"/>
        <n v="-0.1111111111111111"/>
        <n v="-0.172"/>
        <n v="-0.2"/>
        <n v="-0.2725"/>
        <n v="-0.304"/>
      </sharedItems>
    </cacheField>
    <cacheField name="Status" numFmtId="49">
      <sharedItems>
        <s v="Profitable"/>
        <s v="Break Even"/>
        <s v="Los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cores" cacheId="0" dataCaption="" compact="0" compactData="0">
  <location ref="L32:Q41" firstHeaderRow="0" firstDataRow="1" firstDataCol="1"/>
  <pivotFields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House" axis="axisRow" compact="0" numFmtId="49" outline="0" multipleItemSelectionAllowed="1" showAll="0" sortType="ascending">
      <items>
        <item x="2"/>
        <item x="4"/>
        <item x="1"/>
        <item x="3"/>
        <item x="6"/>
        <item x="0"/>
        <item x="5"/>
        <item t="default"/>
      </items>
    </pivotField>
    <pivotField name="Quarter" compact="0" numFmtId="49" outline="0" multipleItemSelectionAllowed="1" showAll="0">
      <items>
        <item x="0"/>
        <item x="1"/>
        <item x="2"/>
        <item x="3"/>
        <item t="default"/>
      </items>
    </pivotField>
    <pivotField name="Critic Scor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udience Scor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Avg Scor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udget (₹ Cr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otal Revenue (₹ Cr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ROI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Score Tier" axis="axisCol" dataField="1" compact="0" numFmtId="49" outline="0" multipleItemSelectionAllowed="1" showAll="0" sortType="ascending">
      <items>
        <item x="2"/>
        <item x="0"/>
        <item x="3"/>
        <item x="1"/>
        <item t="default"/>
      </items>
    </pivotField>
  </pivotFields>
  <rowFields>
    <field x="1"/>
  </rowFields>
  <colFields>
    <field x="9"/>
  </colFields>
  <dataFields>
    <dataField name="COUNTA of Score Tier" fld="9" subtotal="count" baseField="0"/>
  </dataFields>
</pivotTableDefinition>
</file>

<file path=xl/pivotTables/pivotTable2.xml><?xml version="1.0" encoding="utf-8"?>
<pivotTableDefinition xmlns="http://schemas.openxmlformats.org/spreadsheetml/2006/main" name="ROI Analysis" cacheId="1" dataCaption="" compact="0" compactData="0">
  <location ref="K41:O50" firstHeaderRow="0" firstDataRow="1" firstDataCol="1"/>
  <pivotFields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House" axis="axisRow" compact="0" numFmtId="49" outline="0" multipleItemSelectionAllowed="1" showAll="0" sortType="ascending">
      <items>
        <item x="2"/>
        <item x="1"/>
        <item x="0"/>
        <item x="4"/>
        <item x="6"/>
        <item x="3"/>
        <item x="5"/>
        <item t="default"/>
      </items>
    </pivotField>
    <pivotField name="Quarter" compact="0" numFmtId="49" outline="0" multipleItemSelectionAllowed="1" showAll="0">
      <items>
        <item x="0"/>
        <item x="1"/>
        <item x="2"/>
        <item x="3"/>
        <item t="default"/>
      </items>
    </pivotField>
    <pivotField name="Budget (₹ Cr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otal Revenue (₹ Cr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ROI (x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Gross Profit (₹ Cr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Return %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Status" axis="axisCol" dataField="1" compact="0" numFmtId="49" outline="0" multipleItemSelectionAllowed="1" showAll="0" sortType="ascending">
      <items>
        <item x="1"/>
        <item x="2"/>
        <item x="0"/>
        <item t="default"/>
      </items>
    </pivotField>
  </pivotFields>
  <rowFields>
    <field x="1"/>
  </rowFields>
  <colFields>
    <field x="8"/>
  </colFields>
  <dataFields>
    <dataField name="COUNTA of Status" fld="8" subtotal="count" baseField="0"/>
  </dataFields>
</pivotTableDefinition>
</file>

<file path=xl/tables/table1.xml><?xml version="1.0" encoding="utf-8"?>
<table xmlns="http://schemas.openxmlformats.org/spreadsheetml/2006/main" ref="A1:P71" displayName="Film_Industry_Performance" name="Film_Industry_Performance" id="1">
  <tableColumns count="16">
    <tableColumn name="#" id="1"/>
    <tableColumn name="Title" id="2"/>
    <tableColumn name="House" id="3"/>
    <tableColumn name="Language" id="4"/>
    <tableColumn name="Genre" id="5"/>
    <tableColumn name="Month" id="6"/>
    <tableColumn name="Month Name" id="7"/>
    <tableColumn name="Quarter" id="8"/>
    <tableColumn name="Budget (₹ Cr)" id="9"/>
    <tableColumn name="Box Office (₹ Cr)" id="10"/>
    <tableColumn name="OTT Rights (₹ Cr)" id="11"/>
    <tableColumn name="Total Revenue (₹ Cr)" id="12"/>
    <tableColumn name="ROI (x)" id="13"/>
    <tableColumn name="Critic Score" id="14"/>
    <tableColumn name="Audience Score" id="15"/>
    <tableColumn name="Avg Score" id="16"/>
  </tableColumns>
  <tableStyleInfo name="Raw Data-style" showColumnStripes="0" showFirstColumn="1" showLastColumn="1" showRowStripes="1"/>
</table>
</file>

<file path=xl/tables/table2.xml><?xml version="1.0" encoding="utf-8"?>
<table xmlns="http://schemas.openxmlformats.org/spreadsheetml/2006/main" ref="A1:L9" displayName="Film_House_Performance" name="Film_House_Performance" id="2">
  <tableColumns count="12">
    <tableColumn name="House" id="1"/>
    <tableColumn name="Language" id="2"/>
    <tableColumn name="# Movies" id="3"/>
    <tableColumn name="Total Budget (₹ Cr)" id="4"/>
    <tableColumn name="Total Box Office (₹ Cr)" id="5"/>
    <tableColumn name="Total OTT (₹ Cr)" id="6"/>
    <tableColumn name="Total Revenue (₹ Cr)" id="7"/>
    <tableColumn name="Avg ROI (x)" id="8"/>
    <tableColumn name="Hit Rate (ROI&gt;1)" id="9"/>
    <tableColumn name="Avg Critic" id="10"/>
    <tableColumn name="Avg Audience" id="11"/>
    <tableColumn name="Avg Score" id="12"/>
  </tableColumns>
  <tableStyleInfo name="By House-style" showColumnStripes="0" showFirstColumn="1" showLastColumn="1" showRowStripes="1"/>
</table>
</file>

<file path=xl/tables/table3.xml><?xml version="1.0" encoding="utf-8"?>
<table xmlns="http://schemas.openxmlformats.org/spreadsheetml/2006/main" ref="A1:H15" displayName="Table1" name="Table1" id="3">
  <tableColumns count="8">
    <tableColumn name="Genre" id="1"/>
    <tableColumn name="# of Movies" id="2"/>
    <tableColumn name="Budget (₹ Cr)" id="3"/>
    <tableColumn name="Total Revenue (₹ Cr)" id="4"/>
    <tableColumn name="Average Revenue (₹ Cr)" id="5"/>
    <tableColumn name="Average Profit per Movie" id="6"/>
    <tableColumn name="ROI" id="7"/>
    <tableColumn name="Z-Score" id="8"/>
  </tableColumns>
  <tableStyleInfo name="By Genre-style" showColumnStripes="0" showFirstColumn="1" showLastColumn="1" showRowStripes="1"/>
</table>
</file>

<file path=xl/tables/table4.xml><?xml version="1.0" encoding="utf-8"?>
<table xmlns="http://schemas.openxmlformats.org/spreadsheetml/2006/main" ref="A1:J14" displayName="Monthly_Film_Performance" name="Monthly_Film_Performance" id="4">
  <tableColumns count="10">
    <tableColumn name="Month #" id="1"/>
    <tableColumn name="Month" id="2"/>
    <tableColumn name="Quarter" id="3"/>
    <tableColumn name="# Movies" id="4"/>
    <tableColumn name="Total Budget (₹ Cr)" id="5"/>
    <tableColumn name="Total Box Office (₹ Cr)" id="6"/>
    <tableColumn name="Total OTT (₹ Cr)" id="7"/>
    <tableColumn name="Total Revenue (₹ Cr)" id="8"/>
    <tableColumn name="Avg ROI (x)" id="9"/>
    <tableColumn name="Avg Score" id="10"/>
  </tableColumns>
  <tableStyleInfo name="Monthly-style" showColumnStripes="0" showFirstColumn="1" showLastColumn="1" showRowStripes="1"/>
</table>
</file>

<file path=xl/tables/table5.xml><?xml version="1.0" encoding="utf-8"?>
<table xmlns="http://schemas.openxmlformats.org/spreadsheetml/2006/main" totalsRowCount="1" ref="A1:K6" displayName="Quaterly_Film_Performance" name="Quaterly_Film_Performance" id="5">
  <tableColumns count="11">
    <tableColumn totalsRowLabel="ANNUAL" name="Quarter" id="1"/>
    <tableColumn name="Months" id="2"/>
    <tableColumn totalsRowFunction="custom" name="# Movies" id="3"/>
    <tableColumn totalsRowFunction="custom" name="Total Budget (₹ Cr)" id="4"/>
    <tableColumn totalsRowFunction="custom" name="Total Box Office (₹ Cr)" id="5"/>
    <tableColumn totalsRowFunction="custom" name="Total OTT (₹ Cr)" id="6"/>
    <tableColumn totalsRowFunction="custom" name="Total Revenue (₹ Cr)" id="7"/>
    <tableColumn totalsRowFunction="custom" name="Avg ROI (x)" id="8"/>
    <tableColumn totalsRowFunction="custom" name="Hit Rate (ROI&gt;1)" id="9"/>
    <tableColumn totalsRowFunction="custom" name="Avg Score" id="10"/>
    <tableColumn totalsRowFunction="custom" name="% of Annual Revenue" id="11"/>
  </tableColumns>
  <tableStyleInfo name="Quarterly-style" showColumnStripes="0" showFirstColumn="1" showLastColumn="1" showRowStripes="1"/>
</table>
</file>

<file path=xl/tables/table6.xml><?xml version="1.0" encoding="utf-8"?>
<table xmlns="http://schemas.openxmlformats.org/spreadsheetml/2006/main" ref="A1:J71" displayName="Movie_Scores_Ranking" name="Movie_Scores_Ranking" id="6">
  <tableColumns count="10">
    <tableColumn name="Title" id="1"/>
    <tableColumn name="House" id="2"/>
    <tableColumn name="Quarter" id="3"/>
    <tableColumn name="Critic Score" id="4"/>
    <tableColumn name="Audience Score" id="5"/>
    <tableColumn name="Avg Score" id="6"/>
    <tableColumn name="Budget (₹ Cr)" id="7"/>
    <tableColumn name="Total Revenue (₹ Cr)" id="8"/>
    <tableColumn name="ROI" id="9"/>
    <tableColumn name="Score Tier" id="10"/>
  </tableColumns>
  <tableStyleInfo name="Scores-style" showColumnStripes="0" showFirstColumn="1" showLastColumn="1" showRowStripes="1"/>
</table>
</file>

<file path=xl/tables/table7.xml><?xml version="1.0" encoding="utf-8"?>
<table xmlns="http://schemas.openxmlformats.org/spreadsheetml/2006/main" ref="A1:I71" displayName="Film_Profitability_Metrics_2" name="Film_Profitability_Metrics_2" id="7">
  <tableColumns count="9">
    <tableColumn name="Title" id="1"/>
    <tableColumn name="House" id="2"/>
    <tableColumn name="Quarter" id="3"/>
    <tableColumn name="Budget (₹ Cr)" id="4"/>
    <tableColumn name="Total Revenue (₹ Cr)" id="5"/>
    <tableColumn name="ROI (x)" id="6"/>
    <tableColumn name="Gross Profit (₹ Cr)" id="7"/>
    <tableColumn name="Return %" id="8"/>
    <tableColumn name="Status" id="9"/>
  </tableColumns>
  <tableStyleInfo name="ROI Analysis-style" showColumnStripes="0" showFirstColumn="1" showLastColumn="1" showRowStripes="1"/>
</table>
</file>

<file path=xl/tables/table8.xml><?xml version="1.0" encoding="utf-8"?>
<table xmlns="http://schemas.openxmlformats.org/spreadsheetml/2006/main" ref="A1:F9" displayName="Table2" name="Table2" id="8">
  <tableColumns count="6">
    <tableColumn name="House / Quarter" id="1"/>
    <tableColumn name="Q1" id="2"/>
    <tableColumn name="Q2" id="3"/>
    <tableColumn name="Q3" id="4"/>
    <tableColumn name="Q4" id="5"/>
    <tableColumn name="Annual Total" id="6"/>
  </tableColumns>
  <tableStyleInfo name="Pivot Summary-style" showColumnStripes="0" showFirstColumn="1" showLastColumn="1" showRowStripes="1"/>
</table>
</file>

<file path=xl/tables/table9.xml><?xml version="1.0" encoding="utf-8"?>
<table xmlns="http://schemas.openxmlformats.org/spreadsheetml/2006/main" ref="E3:H8" displayName="_TOP_5_MOVIES_BY_REVENUE" name="_TOP_5_MOVIES_BY_REVENUE" id="9">
  <tableColumns count="4">
    <tableColumn name="Title" id="1"/>
    <tableColumn name="House" id="2"/>
    <tableColumn name="Revenue (₹ Cr)" id="3"/>
    <tableColumn name="Score" id="4"/>
  </tableColumns>
  <tableStyleInfo name="Dashboard KPIs-style" showColumnStripes="0" showFirstColumn="1" showLastColumn="1" showRowStripes="1"/>
</table>
</file>

<file path=xl/tables/table10.xml><?xml version="1.0" encoding="utf-8"?>
<table xmlns="http://schemas.openxmlformats.org/spreadsheetml/2006/main" ref="E11:H16" displayName="_TOP_5_BY_CRITIC_SCORE" name="_TOP_5_BY_CRITIC_SCORE" id="10">
  <tableColumns count="4">
    <tableColumn name="Title" id="1"/>
    <tableColumn name="House" id="2"/>
    <tableColumn name="Revenue (₹ Cr)" id="3"/>
    <tableColumn name="Score" id="4"/>
  </tableColumns>
  <tableStyleInfo name="Dashboard KPI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Relationship Id="rId4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Relationship Id="rId4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2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71"/>
    <col customWidth="1" min="2" max="2" width="28.0"/>
    <col customWidth="1" min="3" max="3" width="17.86"/>
    <col customWidth="1" min="4" max="4" width="19.0"/>
    <col customWidth="1" min="5" max="5" width="28.86"/>
    <col customWidth="1" min="6" max="7" width="15.71"/>
    <col customWidth="1" min="8" max="8" width="20.86"/>
    <col customWidth="1" min="9" max="9" width="25.43"/>
    <col customWidth="1" min="10" max="10" width="26.86"/>
    <col customWidth="1" min="11" max="11" width="23.86"/>
    <col customWidth="1" min="12" max="12" width="27.43"/>
    <col customWidth="1" min="13" max="13" width="17.0"/>
    <col customWidth="1" min="14" max="14" width="19.29"/>
    <col customWidth="1" min="15" max="15" width="23.14"/>
    <col customWidth="1" min="16" max="16" width="13.57"/>
    <col customWidth="1" min="17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1.0</v>
      </c>
      <c r="B2" s="3" t="s">
        <v>16</v>
      </c>
      <c r="C2" s="4" t="s">
        <v>17</v>
      </c>
      <c r="D2" s="4" t="s">
        <v>18</v>
      </c>
      <c r="E2" s="5" t="s">
        <v>19</v>
      </c>
      <c r="F2" s="6">
        <v>1.0</v>
      </c>
      <c r="G2" s="7" t="str">
        <f t="shared" ref="G2:G71" si="1">TEXT(DATE(2024, F2, 1), "MMMM")</f>
        <v>January</v>
      </c>
      <c r="H2" s="8" t="str">
        <f t="shared" ref="H2:H71" si="2">IF(F2 &gt; 9, "Q4", IF(F2 &gt; 6, "Q3", IF(F2 &gt; 3, "Q2", "Q1")))</f>
        <v>Q1</v>
      </c>
      <c r="I2" s="9">
        <v>160.0</v>
      </c>
      <c r="J2" s="9">
        <v>168.88</v>
      </c>
      <c r="K2" s="9">
        <v>70.0</v>
      </c>
      <c r="L2" s="10">
        <f t="shared" ref="L2:L71" si="3">J2+K2</f>
        <v>238.88</v>
      </c>
      <c r="M2" s="11">
        <f t="shared" ref="M2:M71" si="4">L2/I2</f>
        <v>1.493</v>
      </c>
      <c r="N2" s="12">
        <v>6.0</v>
      </c>
      <c r="O2" s="12">
        <v>7.1</v>
      </c>
      <c r="P2" s="13">
        <f t="shared" ref="P2:P71" si="5">AVERAGE(N2:O2)</f>
        <v>6.55</v>
      </c>
    </row>
    <row r="3" ht="22.5" customHeight="1">
      <c r="A3" s="14">
        <f t="shared" ref="A3:A71" si="6">A2 + 1</f>
        <v>2</v>
      </c>
      <c r="B3" s="15" t="s">
        <v>20</v>
      </c>
      <c r="C3" s="4" t="s">
        <v>17</v>
      </c>
      <c r="D3" s="4" t="s">
        <v>18</v>
      </c>
      <c r="E3" s="5" t="s">
        <v>21</v>
      </c>
      <c r="F3" s="16">
        <v>2.0</v>
      </c>
      <c r="G3" s="7" t="str">
        <f t="shared" si="1"/>
        <v>February</v>
      </c>
      <c r="H3" s="8" t="str">
        <f t="shared" si="2"/>
        <v>Q1</v>
      </c>
      <c r="I3" s="9">
        <v>130.4</v>
      </c>
      <c r="J3" s="9">
        <v>809.0</v>
      </c>
      <c r="K3" s="9">
        <v>90.0</v>
      </c>
      <c r="L3" s="10">
        <f t="shared" si="3"/>
        <v>899</v>
      </c>
      <c r="M3" s="11">
        <f t="shared" si="4"/>
        <v>6.894171779</v>
      </c>
      <c r="N3" s="12">
        <v>7.8</v>
      </c>
      <c r="O3" s="12">
        <v>8.8</v>
      </c>
      <c r="P3" s="13">
        <f t="shared" si="5"/>
        <v>8.3</v>
      </c>
    </row>
    <row r="4" ht="22.5" customHeight="1">
      <c r="A4" s="14">
        <f t="shared" si="6"/>
        <v>3</v>
      </c>
      <c r="B4" s="17" t="s">
        <v>22</v>
      </c>
      <c r="C4" s="4" t="s">
        <v>17</v>
      </c>
      <c r="D4" s="4" t="s">
        <v>18</v>
      </c>
      <c r="E4" s="5" t="s">
        <v>23</v>
      </c>
      <c r="F4" s="6">
        <v>2.0</v>
      </c>
      <c r="G4" s="7" t="str">
        <f t="shared" si="1"/>
        <v>February</v>
      </c>
      <c r="H4" s="8" t="str">
        <f t="shared" si="2"/>
        <v>Q1</v>
      </c>
      <c r="I4" s="9">
        <v>90.0</v>
      </c>
      <c r="J4" s="9">
        <v>243.0</v>
      </c>
      <c r="K4" s="9">
        <v>65.0</v>
      </c>
      <c r="L4" s="10">
        <f t="shared" si="3"/>
        <v>308</v>
      </c>
      <c r="M4" s="11">
        <f t="shared" si="4"/>
        <v>3.422222222</v>
      </c>
      <c r="N4" s="12">
        <v>7.0</v>
      </c>
      <c r="O4" s="12">
        <v>7.8</v>
      </c>
      <c r="P4" s="13">
        <f t="shared" si="5"/>
        <v>7.4</v>
      </c>
    </row>
    <row r="5" ht="22.5" customHeight="1">
      <c r="A5" s="14">
        <f t="shared" si="6"/>
        <v>4</v>
      </c>
      <c r="B5" s="15" t="s">
        <v>24</v>
      </c>
      <c r="C5" s="4" t="s">
        <v>17</v>
      </c>
      <c r="D5" s="4" t="s">
        <v>18</v>
      </c>
      <c r="E5" s="5" t="s">
        <v>25</v>
      </c>
      <c r="F5" s="6">
        <v>6.0</v>
      </c>
      <c r="G5" s="7" t="str">
        <f t="shared" si="1"/>
        <v>June</v>
      </c>
      <c r="H5" s="8" t="str">
        <f t="shared" si="2"/>
        <v>Q2</v>
      </c>
      <c r="I5" s="9">
        <v>225.0</v>
      </c>
      <c r="J5" s="9">
        <v>242.8</v>
      </c>
      <c r="K5" s="9">
        <v>90.0</v>
      </c>
      <c r="L5" s="10">
        <f t="shared" si="3"/>
        <v>332.8</v>
      </c>
      <c r="M5" s="11">
        <f t="shared" si="4"/>
        <v>1.479111111</v>
      </c>
      <c r="N5" s="12">
        <v>3.2</v>
      </c>
      <c r="O5" s="12">
        <v>5.8</v>
      </c>
      <c r="P5" s="13">
        <f t="shared" si="5"/>
        <v>4.5</v>
      </c>
    </row>
    <row r="6" ht="22.5" customHeight="1">
      <c r="A6" s="14">
        <f t="shared" si="6"/>
        <v>5</v>
      </c>
      <c r="B6" s="15" t="s">
        <v>26</v>
      </c>
      <c r="C6" s="4" t="s">
        <v>17</v>
      </c>
      <c r="D6" s="4" t="s">
        <v>18</v>
      </c>
      <c r="E6" s="5" t="s">
        <v>27</v>
      </c>
      <c r="F6" s="6">
        <v>7.0</v>
      </c>
      <c r="G6" s="7" t="str">
        <f t="shared" si="1"/>
        <v>July</v>
      </c>
      <c r="H6" s="8" t="str">
        <f t="shared" si="2"/>
        <v>Q3</v>
      </c>
      <c r="I6" s="9">
        <v>45.4</v>
      </c>
      <c r="J6" s="9">
        <v>579.8</v>
      </c>
      <c r="K6" s="9">
        <v>25.0</v>
      </c>
      <c r="L6" s="10">
        <f t="shared" si="3"/>
        <v>604.8</v>
      </c>
      <c r="M6" s="11">
        <f t="shared" si="4"/>
        <v>13.3215859</v>
      </c>
      <c r="N6" s="12">
        <v>7.4</v>
      </c>
      <c r="O6" s="12">
        <v>8.5</v>
      </c>
      <c r="P6" s="13">
        <f t="shared" si="5"/>
        <v>7.95</v>
      </c>
    </row>
    <row r="7" ht="22.5" customHeight="1">
      <c r="A7" s="14">
        <f t="shared" si="6"/>
        <v>6</v>
      </c>
      <c r="B7" s="15" t="s">
        <v>28</v>
      </c>
      <c r="C7" s="4" t="s">
        <v>17</v>
      </c>
      <c r="D7" s="4" t="s">
        <v>18</v>
      </c>
      <c r="E7" s="5" t="s">
        <v>29</v>
      </c>
      <c r="F7" s="6">
        <v>7.0</v>
      </c>
      <c r="G7" s="7" t="str">
        <f t="shared" si="1"/>
        <v>July</v>
      </c>
      <c r="H7" s="8" t="str">
        <f t="shared" si="2"/>
        <v>Q3</v>
      </c>
      <c r="I7" s="9">
        <v>40.0</v>
      </c>
      <c r="J7" s="9">
        <v>326.82</v>
      </c>
      <c r="K7" s="9">
        <v>25.0</v>
      </c>
      <c r="L7" s="10">
        <f t="shared" si="3"/>
        <v>351.82</v>
      </c>
      <c r="M7" s="11">
        <f t="shared" si="4"/>
        <v>8.7955</v>
      </c>
      <c r="N7" s="12">
        <v>8.5</v>
      </c>
      <c r="O7" s="12">
        <v>9.2</v>
      </c>
      <c r="P7" s="13">
        <f t="shared" si="5"/>
        <v>8.85</v>
      </c>
    </row>
    <row r="8" ht="22.5" customHeight="1">
      <c r="A8" s="14">
        <f t="shared" si="6"/>
        <v>7</v>
      </c>
      <c r="B8" s="15" t="s">
        <v>30</v>
      </c>
      <c r="C8" s="4" t="s">
        <v>17</v>
      </c>
      <c r="D8" s="4" t="s">
        <v>18</v>
      </c>
      <c r="E8" s="5" t="s">
        <v>19</v>
      </c>
      <c r="F8" s="6">
        <v>8.0</v>
      </c>
      <c r="G8" s="7" t="str">
        <f t="shared" si="1"/>
        <v>August</v>
      </c>
      <c r="H8" s="8" t="str">
        <f t="shared" si="2"/>
        <v>Q3</v>
      </c>
      <c r="I8" s="9">
        <v>400.0</v>
      </c>
      <c r="J8" s="9">
        <v>351.0</v>
      </c>
      <c r="K8" s="9">
        <v>150.0</v>
      </c>
      <c r="L8" s="10">
        <f t="shared" si="3"/>
        <v>501</v>
      </c>
      <c r="M8" s="11">
        <f t="shared" si="4"/>
        <v>1.2525</v>
      </c>
      <c r="N8" s="12">
        <v>4.5</v>
      </c>
      <c r="O8" s="12">
        <v>6.2</v>
      </c>
      <c r="P8" s="13">
        <f t="shared" si="5"/>
        <v>5.35</v>
      </c>
    </row>
    <row r="9" ht="22.5" customHeight="1">
      <c r="A9" s="14">
        <f t="shared" si="6"/>
        <v>8</v>
      </c>
      <c r="B9" s="18" t="s">
        <v>31</v>
      </c>
      <c r="C9" s="4" t="s">
        <v>17</v>
      </c>
      <c r="D9" s="4" t="s">
        <v>18</v>
      </c>
      <c r="E9" s="19" t="s">
        <v>32</v>
      </c>
      <c r="F9" s="16">
        <v>9.0</v>
      </c>
      <c r="G9" s="7" t="str">
        <f t="shared" si="1"/>
        <v>September</v>
      </c>
      <c r="H9" s="8" t="str">
        <f t="shared" si="2"/>
        <v>Q3</v>
      </c>
      <c r="I9" s="10">
        <v>305.3</v>
      </c>
      <c r="J9" s="10">
        <v>679.2</v>
      </c>
      <c r="K9" s="10">
        <v>106.7</v>
      </c>
      <c r="L9" s="10">
        <f t="shared" si="3"/>
        <v>785.9</v>
      </c>
      <c r="M9" s="11">
        <f t="shared" si="4"/>
        <v>2.574189322</v>
      </c>
      <c r="N9" s="13">
        <v>8.5</v>
      </c>
      <c r="O9" s="13">
        <v>4.9</v>
      </c>
      <c r="P9" s="13">
        <f t="shared" si="5"/>
        <v>6.7</v>
      </c>
    </row>
    <row r="10" ht="22.5" customHeight="1">
      <c r="A10" s="14">
        <f t="shared" si="6"/>
        <v>9</v>
      </c>
      <c r="B10" s="20" t="s">
        <v>33</v>
      </c>
      <c r="C10" s="4" t="s">
        <v>17</v>
      </c>
      <c r="D10" s="4" t="s">
        <v>18</v>
      </c>
      <c r="E10" s="21" t="s">
        <v>34</v>
      </c>
      <c r="F10" s="6">
        <v>12.0</v>
      </c>
      <c r="G10" s="7" t="str">
        <f t="shared" si="1"/>
        <v>December</v>
      </c>
      <c r="H10" s="8" t="str">
        <f t="shared" si="2"/>
        <v>Q4</v>
      </c>
      <c r="I10" s="9">
        <v>250.0</v>
      </c>
      <c r="J10" s="9">
        <v>1307.35</v>
      </c>
      <c r="K10" s="9">
        <v>130.0</v>
      </c>
      <c r="L10" s="10">
        <f t="shared" si="3"/>
        <v>1437.35</v>
      </c>
      <c r="M10" s="11">
        <f t="shared" si="4"/>
        <v>5.7494</v>
      </c>
      <c r="N10" s="12">
        <v>8.2</v>
      </c>
      <c r="O10" s="12">
        <v>9.1</v>
      </c>
      <c r="P10" s="13">
        <f t="shared" si="5"/>
        <v>8.65</v>
      </c>
    </row>
    <row r="11" ht="22.5" customHeight="1">
      <c r="A11" s="14">
        <f t="shared" si="6"/>
        <v>10</v>
      </c>
      <c r="B11" s="22" t="s">
        <v>35</v>
      </c>
      <c r="C11" s="4" t="s">
        <v>17</v>
      </c>
      <c r="D11" s="4" t="s">
        <v>18</v>
      </c>
      <c r="E11" s="5" t="s">
        <v>36</v>
      </c>
      <c r="F11" s="6">
        <v>12.0</v>
      </c>
      <c r="G11" s="7" t="str">
        <f t="shared" si="1"/>
        <v>December</v>
      </c>
      <c r="H11" s="8" t="str">
        <f t="shared" si="2"/>
        <v>Q4</v>
      </c>
      <c r="I11" s="9">
        <v>100.0</v>
      </c>
      <c r="J11" s="9">
        <v>266.49</v>
      </c>
      <c r="K11" s="9">
        <v>80.0</v>
      </c>
      <c r="L11" s="10">
        <f t="shared" si="3"/>
        <v>346.49</v>
      </c>
      <c r="M11" s="11">
        <f t="shared" si="4"/>
        <v>3.4649</v>
      </c>
      <c r="N11" s="13">
        <v>8.8</v>
      </c>
      <c r="O11" s="12">
        <v>8.9</v>
      </c>
      <c r="P11" s="13">
        <f t="shared" si="5"/>
        <v>8.85</v>
      </c>
    </row>
    <row r="12" ht="22.5" customHeight="1">
      <c r="A12" s="14">
        <f t="shared" si="6"/>
        <v>11</v>
      </c>
      <c r="B12" s="23" t="s">
        <v>37</v>
      </c>
      <c r="C12" s="4" t="s">
        <v>38</v>
      </c>
      <c r="D12" s="4" t="s">
        <v>39</v>
      </c>
      <c r="E12" s="5" t="s">
        <v>40</v>
      </c>
      <c r="F12" s="6">
        <v>1.0</v>
      </c>
      <c r="G12" s="7" t="str">
        <f t="shared" si="1"/>
        <v>January</v>
      </c>
      <c r="H12" s="8" t="str">
        <f t="shared" si="2"/>
        <v>Q1</v>
      </c>
      <c r="I12" s="9">
        <v>7.0</v>
      </c>
      <c r="J12" s="9">
        <v>90.0</v>
      </c>
      <c r="K12" s="9">
        <v>18.0</v>
      </c>
      <c r="L12" s="10">
        <f t="shared" si="3"/>
        <v>108</v>
      </c>
      <c r="M12" s="11">
        <f t="shared" si="4"/>
        <v>15.42857143</v>
      </c>
      <c r="N12" s="12">
        <v>8.5</v>
      </c>
      <c r="O12" s="12">
        <v>9.0</v>
      </c>
      <c r="P12" s="13">
        <f t="shared" si="5"/>
        <v>8.75</v>
      </c>
    </row>
    <row r="13" ht="22.5" customHeight="1">
      <c r="A13" s="14">
        <f t="shared" si="6"/>
        <v>12</v>
      </c>
      <c r="B13" s="23" t="s">
        <v>41</v>
      </c>
      <c r="C13" s="4" t="s">
        <v>38</v>
      </c>
      <c r="D13" s="4" t="s">
        <v>39</v>
      </c>
      <c r="E13" s="5" t="s">
        <v>42</v>
      </c>
      <c r="F13" s="6">
        <v>2.0</v>
      </c>
      <c r="G13" s="7" t="str">
        <f t="shared" si="1"/>
        <v>February</v>
      </c>
      <c r="H13" s="8" t="str">
        <f t="shared" si="2"/>
        <v>Q1</v>
      </c>
      <c r="I13" s="9">
        <v>200.0</v>
      </c>
      <c r="J13" s="9">
        <v>136.0</v>
      </c>
      <c r="K13" s="9">
        <v>100.0</v>
      </c>
      <c r="L13" s="10">
        <f t="shared" si="3"/>
        <v>236</v>
      </c>
      <c r="M13" s="11">
        <f t="shared" si="4"/>
        <v>1.18</v>
      </c>
      <c r="N13" s="12">
        <v>6.0</v>
      </c>
      <c r="O13" s="12">
        <v>7.5</v>
      </c>
      <c r="P13" s="13">
        <f t="shared" si="5"/>
        <v>6.75</v>
      </c>
    </row>
    <row r="14" ht="22.5" customHeight="1">
      <c r="A14" s="14">
        <f t="shared" si="6"/>
        <v>13</v>
      </c>
      <c r="B14" s="23" t="s">
        <v>43</v>
      </c>
      <c r="C14" s="4" t="s">
        <v>38</v>
      </c>
      <c r="D14" s="4" t="s">
        <v>39</v>
      </c>
      <c r="E14" s="19" t="s">
        <v>44</v>
      </c>
      <c r="F14" s="6">
        <v>2.0</v>
      </c>
      <c r="G14" s="7" t="str">
        <f t="shared" si="1"/>
        <v>February</v>
      </c>
      <c r="H14" s="8" t="str">
        <f t="shared" si="2"/>
        <v>Q1</v>
      </c>
      <c r="I14" s="9">
        <v>37.0</v>
      </c>
      <c r="J14" s="9">
        <v>154.0</v>
      </c>
      <c r="K14" s="9">
        <v>35.0</v>
      </c>
      <c r="L14" s="10">
        <f t="shared" si="3"/>
        <v>189</v>
      </c>
      <c r="M14" s="11">
        <f t="shared" si="4"/>
        <v>5.108108108</v>
      </c>
      <c r="N14" s="12">
        <v>8.0</v>
      </c>
      <c r="O14" s="12">
        <v>9.4</v>
      </c>
      <c r="P14" s="13">
        <f t="shared" si="5"/>
        <v>8.7</v>
      </c>
    </row>
    <row r="15" ht="22.5" customHeight="1">
      <c r="A15" s="14">
        <f t="shared" si="6"/>
        <v>14</v>
      </c>
      <c r="B15" s="23" t="s">
        <v>45</v>
      </c>
      <c r="C15" s="4" t="s">
        <v>38</v>
      </c>
      <c r="D15" s="4" t="s">
        <v>39</v>
      </c>
      <c r="E15" s="5" t="s">
        <v>46</v>
      </c>
      <c r="F15" s="6">
        <v>4.0</v>
      </c>
      <c r="G15" s="7" t="str">
        <f t="shared" si="1"/>
        <v>April</v>
      </c>
      <c r="H15" s="8" t="str">
        <f t="shared" si="2"/>
        <v>Q2</v>
      </c>
      <c r="I15" s="9">
        <v>270.0</v>
      </c>
      <c r="J15" s="9">
        <v>248.0</v>
      </c>
      <c r="K15" s="9">
        <v>95.0</v>
      </c>
      <c r="L15" s="10">
        <f t="shared" si="3"/>
        <v>343</v>
      </c>
      <c r="M15" s="11">
        <f t="shared" si="4"/>
        <v>1.27037037</v>
      </c>
      <c r="N15" s="12">
        <v>6.5</v>
      </c>
      <c r="O15" s="12">
        <v>7.2</v>
      </c>
      <c r="P15" s="13">
        <f t="shared" si="5"/>
        <v>6.85</v>
      </c>
    </row>
    <row r="16" ht="22.5" customHeight="1">
      <c r="A16" s="14">
        <f t="shared" si="6"/>
        <v>15</v>
      </c>
      <c r="B16" s="23" t="s">
        <v>47</v>
      </c>
      <c r="C16" s="4" t="s">
        <v>38</v>
      </c>
      <c r="D16" s="4" t="s">
        <v>39</v>
      </c>
      <c r="E16" s="5" t="s">
        <v>29</v>
      </c>
      <c r="F16" s="6">
        <v>6.0</v>
      </c>
      <c r="G16" s="7" t="str">
        <f t="shared" si="1"/>
        <v>June</v>
      </c>
      <c r="H16" s="8" t="str">
        <f t="shared" si="2"/>
        <v>Q2</v>
      </c>
      <c r="I16" s="9">
        <v>250.0</v>
      </c>
      <c r="J16" s="9">
        <v>97.0</v>
      </c>
      <c r="K16" s="9">
        <v>110.0</v>
      </c>
      <c r="L16" s="10">
        <f t="shared" si="3"/>
        <v>207</v>
      </c>
      <c r="M16" s="11">
        <f t="shared" si="4"/>
        <v>0.828</v>
      </c>
      <c r="N16" s="12">
        <v>4.0</v>
      </c>
      <c r="O16" s="12">
        <v>4.8</v>
      </c>
      <c r="P16" s="13">
        <f t="shared" si="5"/>
        <v>4.4</v>
      </c>
    </row>
    <row r="17" ht="22.5" customHeight="1">
      <c r="A17" s="14">
        <f t="shared" si="6"/>
        <v>16</v>
      </c>
      <c r="B17" s="23" t="s">
        <v>48</v>
      </c>
      <c r="C17" s="4" t="s">
        <v>38</v>
      </c>
      <c r="D17" s="4" t="s">
        <v>39</v>
      </c>
      <c r="E17" s="5" t="s">
        <v>44</v>
      </c>
      <c r="F17" s="6">
        <v>7.0</v>
      </c>
      <c r="G17" s="7" t="str">
        <f t="shared" si="1"/>
        <v>July</v>
      </c>
      <c r="H17" s="8" t="str">
        <f t="shared" si="2"/>
        <v>Q3</v>
      </c>
      <c r="I17" s="9">
        <v>25.0</v>
      </c>
      <c r="J17" s="9">
        <v>110.0</v>
      </c>
      <c r="K17" s="9">
        <v>20.0</v>
      </c>
      <c r="L17" s="10">
        <f t="shared" si="3"/>
        <v>130</v>
      </c>
      <c r="M17" s="11">
        <f t="shared" si="4"/>
        <v>5.2</v>
      </c>
      <c r="N17" s="12">
        <v>8.0</v>
      </c>
      <c r="O17" s="12">
        <v>8.0</v>
      </c>
      <c r="P17" s="13">
        <f t="shared" si="5"/>
        <v>8</v>
      </c>
    </row>
    <row r="18" ht="22.5" customHeight="1">
      <c r="A18" s="14">
        <f t="shared" si="6"/>
        <v>17</v>
      </c>
      <c r="B18" s="23" t="s">
        <v>49</v>
      </c>
      <c r="C18" s="4" t="s">
        <v>38</v>
      </c>
      <c r="D18" s="4" t="s">
        <v>39</v>
      </c>
      <c r="E18" s="5" t="s">
        <v>50</v>
      </c>
      <c r="F18" s="6">
        <v>8.0</v>
      </c>
      <c r="G18" s="7" t="str">
        <f t="shared" si="1"/>
        <v>August</v>
      </c>
      <c r="H18" s="8" t="str">
        <f t="shared" si="2"/>
        <v>Q3</v>
      </c>
      <c r="I18" s="9">
        <v>375.0</v>
      </c>
      <c r="J18" s="9">
        <v>518.0</v>
      </c>
      <c r="K18" s="9">
        <v>130.0</v>
      </c>
      <c r="L18" s="10">
        <f t="shared" si="3"/>
        <v>648</v>
      </c>
      <c r="M18" s="11">
        <f t="shared" si="4"/>
        <v>1.728</v>
      </c>
      <c r="N18" s="12">
        <v>7.0</v>
      </c>
      <c r="O18" s="12">
        <v>8.0</v>
      </c>
      <c r="P18" s="13">
        <f t="shared" si="5"/>
        <v>7.5</v>
      </c>
    </row>
    <row r="19" ht="22.5" customHeight="1">
      <c r="A19" s="14">
        <f t="shared" si="6"/>
        <v>18</v>
      </c>
      <c r="B19" s="23" t="s">
        <v>51</v>
      </c>
      <c r="C19" s="4" t="s">
        <v>38</v>
      </c>
      <c r="D19" s="4" t="s">
        <v>39</v>
      </c>
      <c r="E19" s="5" t="s">
        <v>52</v>
      </c>
      <c r="F19" s="6">
        <v>9.0</v>
      </c>
      <c r="G19" s="7" t="str">
        <f t="shared" si="1"/>
        <v>September</v>
      </c>
      <c r="H19" s="8" t="str">
        <f t="shared" si="2"/>
        <v>Q3</v>
      </c>
      <c r="I19" s="9">
        <v>180.0</v>
      </c>
      <c r="J19" s="9">
        <v>100.0</v>
      </c>
      <c r="K19" s="9">
        <v>60.0</v>
      </c>
      <c r="L19" s="10">
        <f t="shared" si="3"/>
        <v>160</v>
      </c>
      <c r="M19" s="11">
        <f t="shared" si="4"/>
        <v>0.8888888889</v>
      </c>
      <c r="N19" s="12">
        <v>6.0</v>
      </c>
      <c r="O19" s="12">
        <v>6.4</v>
      </c>
      <c r="P19" s="13">
        <f t="shared" si="5"/>
        <v>6.2</v>
      </c>
    </row>
    <row r="20" ht="15.75" customHeight="1">
      <c r="A20" s="14">
        <f t="shared" si="6"/>
        <v>19</v>
      </c>
      <c r="B20" s="23" t="s">
        <v>53</v>
      </c>
      <c r="C20" s="4" t="s">
        <v>38</v>
      </c>
      <c r="D20" s="4" t="s">
        <v>39</v>
      </c>
      <c r="E20" s="5" t="s">
        <v>54</v>
      </c>
      <c r="F20" s="6">
        <v>10.0</v>
      </c>
      <c r="G20" s="7" t="str">
        <f t="shared" si="1"/>
        <v>October</v>
      </c>
      <c r="H20" s="8" t="str">
        <f t="shared" si="2"/>
        <v>Q4</v>
      </c>
      <c r="I20" s="9">
        <v>30.0</v>
      </c>
      <c r="J20" s="9">
        <v>114.0</v>
      </c>
      <c r="K20" s="9">
        <v>25.0</v>
      </c>
      <c r="L20" s="10">
        <f t="shared" si="3"/>
        <v>139</v>
      </c>
      <c r="M20" s="11">
        <f t="shared" si="4"/>
        <v>4.633333333</v>
      </c>
      <c r="N20" s="12">
        <v>7.0</v>
      </c>
      <c r="O20" s="12">
        <v>8.8</v>
      </c>
      <c r="P20" s="13">
        <f t="shared" si="5"/>
        <v>7.9</v>
      </c>
    </row>
    <row r="21" ht="15.75" customHeight="1">
      <c r="A21" s="14">
        <f t="shared" si="6"/>
        <v>20</v>
      </c>
      <c r="B21" s="23" t="s">
        <v>55</v>
      </c>
      <c r="C21" s="4" t="s">
        <v>38</v>
      </c>
      <c r="D21" s="4" t="s">
        <v>39</v>
      </c>
      <c r="E21" s="5" t="s">
        <v>44</v>
      </c>
      <c r="F21" s="6">
        <v>10.0</v>
      </c>
      <c r="G21" s="7" t="str">
        <f t="shared" si="1"/>
        <v>October</v>
      </c>
      <c r="H21" s="8" t="str">
        <f t="shared" si="2"/>
        <v>Q4</v>
      </c>
      <c r="I21" s="9">
        <v>30.0</v>
      </c>
      <c r="J21" s="9">
        <v>75.0</v>
      </c>
      <c r="K21" s="9">
        <v>22.0</v>
      </c>
      <c r="L21" s="10">
        <f t="shared" si="3"/>
        <v>97</v>
      </c>
      <c r="M21" s="11">
        <f t="shared" si="4"/>
        <v>3.233333333</v>
      </c>
      <c r="N21" s="12">
        <v>8.0</v>
      </c>
      <c r="O21" s="12">
        <v>8.5</v>
      </c>
      <c r="P21" s="13">
        <f t="shared" si="5"/>
        <v>8.25</v>
      </c>
    </row>
    <row r="22" ht="15.75" customHeight="1">
      <c r="A22" s="14">
        <f t="shared" si="6"/>
        <v>21</v>
      </c>
      <c r="B22" s="23" t="s">
        <v>56</v>
      </c>
      <c r="C22" s="4" t="s">
        <v>57</v>
      </c>
      <c r="D22" s="4" t="s">
        <v>58</v>
      </c>
      <c r="E22" s="5" t="s">
        <v>59</v>
      </c>
      <c r="F22" s="6">
        <v>1.0</v>
      </c>
      <c r="G22" s="7" t="str">
        <f t="shared" si="1"/>
        <v>January</v>
      </c>
      <c r="H22" s="8" t="str">
        <f t="shared" si="2"/>
        <v>Q1</v>
      </c>
      <c r="I22" s="9">
        <v>12.0</v>
      </c>
      <c r="J22" s="9">
        <v>57.0</v>
      </c>
      <c r="K22" s="9">
        <v>14.0</v>
      </c>
      <c r="L22" s="10">
        <f t="shared" si="3"/>
        <v>71</v>
      </c>
      <c r="M22" s="11">
        <f t="shared" si="4"/>
        <v>5.916666667</v>
      </c>
      <c r="N22" s="12">
        <v>7.5</v>
      </c>
      <c r="O22" s="12">
        <v>8.0</v>
      </c>
      <c r="P22" s="13">
        <f t="shared" si="5"/>
        <v>7.75</v>
      </c>
    </row>
    <row r="23" ht="15.75" customHeight="1">
      <c r="A23" s="14">
        <f t="shared" si="6"/>
        <v>22</v>
      </c>
      <c r="B23" s="23" t="s">
        <v>60</v>
      </c>
      <c r="C23" s="4" t="s">
        <v>57</v>
      </c>
      <c r="D23" s="4" t="s">
        <v>58</v>
      </c>
      <c r="E23" s="5" t="s">
        <v>19</v>
      </c>
      <c r="F23" s="6">
        <v>2.0</v>
      </c>
      <c r="G23" s="7" t="str">
        <f t="shared" si="1"/>
        <v>February</v>
      </c>
      <c r="H23" s="8" t="str">
        <f t="shared" si="2"/>
        <v>Q1</v>
      </c>
      <c r="I23" s="9">
        <v>13.0</v>
      </c>
      <c r="J23" s="9">
        <v>54.0</v>
      </c>
      <c r="K23" s="9">
        <v>11.0</v>
      </c>
      <c r="L23" s="10">
        <f t="shared" si="3"/>
        <v>65</v>
      </c>
      <c r="M23" s="11">
        <f t="shared" si="4"/>
        <v>5</v>
      </c>
      <c r="N23" s="12">
        <v>6.8</v>
      </c>
      <c r="O23" s="12">
        <v>7.4</v>
      </c>
      <c r="P23" s="13">
        <f t="shared" si="5"/>
        <v>7.1</v>
      </c>
    </row>
    <row r="24" ht="15.75" customHeight="1">
      <c r="A24" s="14">
        <f t="shared" si="6"/>
        <v>23</v>
      </c>
      <c r="B24" s="23" t="s">
        <v>61</v>
      </c>
      <c r="C24" s="4" t="s">
        <v>57</v>
      </c>
      <c r="D24" s="4" t="s">
        <v>58</v>
      </c>
      <c r="E24" s="5" t="s">
        <v>50</v>
      </c>
      <c r="F24" s="6">
        <v>3.0</v>
      </c>
      <c r="G24" s="7" t="str">
        <f t="shared" si="1"/>
        <v>March</v>
      </c>
      <c r="H24" s="8" t="str">
        <f t="shared" si="2"/>
        <v>Q1</v>
      </c>
      <c r="I24" s="9">
        <v>160.0</v>
      </c>
      <c r="J24" s="9">
        <v>268.0</v>
      </c>
      <c r="K24" s="9">
        <v>65.0</v>
      </c>
      <c r="L24" s="10">
        <f t="shared" si="3"/>
        <v>333</v>
      </c>
      <c r="M24" s="11">
        <f t="shared" si="4"/>
        <v>2.08125</v>
      </c>
      <c r="N24" s="12">
        <v>5.8</v>
      </c>
      <c r="O24" s="12">
        <v>6.2</v>
      </c>
      <c r="P24" s="13">
        <f t="shared" si="5"/>
        <v>6</v>
      </c>
    </row>
    <row r="25" ht="15.75" customHeight="1">
      <c r="A25" s="14">
        <f t="shared" si="6"/>
        <v>24</v>
      </c>
      <c r="B25" s="23" t="s">
        <v>62</v>
      </c>
      <c r="C25" s="4" t="s">
        <v>57</v>
      </c>
      <c r="D25" s="4" t="s">
        <v>58</v>
      </c>
      <c r="E25" s="5" t="s">
        <v>44</v>
      </c>
      <c r="F25" s="6">
        <v>4.0</v>
      </c>
      <c r="G25" s="7" t="str">
        <f t="shared" si="1"/>
        <v>April</v>
      </c>
      <c r="H25" s="8" t="str">
        <f t="shared" si="2"/>
        <v>Q2</v>
      </c>
      <c r="I25" s="9">
        <v>15.0</v>
      </c>
      <c r="J25" s="9">
        <v>235.0</v>
      </c>
      <c r="K25" s="9">
        <v>22.0</v>
      </c>
      <c r="L25" s="10">
        <f t="shared" si="3"/>
        <v>257</v>
      </c>
      <c r="M25" s="11">
        <f t="shared" si="4"/>
        <v>17.13333333</v>
      </c>
      <c r="N25" s="12">
        <v>8.2</v>
      </c>
      <c r="O25" s="12">
        <v>8.8</v>
      </c>
      <c r="P25" s="13">
        <f t="shared" si="5"/>
        <v>8.5</v>
      </c>
    </row>
    <row r="26" ht="15.75" customHeight="1">
      <c r="A26" s="14">
        <f t="shared" si="6"/>
        <v>25</v>
      </c>
      <c r="B26" s="23" t="s">
        <v>63</v>
      </c>
      <c r="C26" s="4" t="s">
        <v>57</v>
      </c>
      <c r="D26" s="4" t="s">
        <v>58</v>
      </c>
      <c r="E26" s="5" t="s">
        <v>25</v>
      </c>
      <c r="F26" s="6">
        <v>4.0</v>
      </c>
      <c r="G26" s="7" t="str">
        <f t="shared" si="1"/>
        <v>April</v>
      </c>
      <c r="H26" s="8" t="str">
        <f t="shared" si="2"/>
        <v>Q2</v>
      </c>
      <c r="I26" s="9">
        <v>8.0</v>
      </c>
      <c r="J26" s="9">
        <v>72.0</v>
      </c>
      <c r="K26" s="9">
        <v>15.0</v>
      </c>
      <c r="L26" s="10">
        <f t="shared" si="3"/>
        <v>87</v>
      </c>
      <c r="M26" s="11">
        <f t="shared" si="4"/>
        <v>10.875</v>
      </c>
      <c r="N26" s="12">
        <v>7.8</v>
      </c>
      <c r="O26" s="12">
        <v>8.7</v>
      </c>
      <c r="P26" s="13">
        <f t="shared" si="5"/>
        <v>8.25</v>
      </c>
    </row>
    <row r="27" ht="15.75" customHeight="1">
      <c r="A27" s="14">
        <f t="shared" si="6"/>
        <v>26</v>
      </c>
      <c r="B27" s="23" t="s">
        <v>64</v>
      </c>
      <c r="C27" s="4" t="s">
        <v>57</v>
      </c>
      <c r="D27" s="4" t="s">
        <v>58</v>
      </c>
      <c r="E27" s="5" t="s">
        <v>65</v>
      </c>
      <c r="F27" s="6">
        <v>8.0</v>
      </c>
      <c r="G27" s="7" t="str">
        <f t="shared" si="1"/>
        <v>August</v>
      </c>
      <c r="H27" s="8" t="str">
        <f t="shared" si="2"/>
        <v>Q3</v>
      </c>
      <c r="I27" s="9">
        <v>30.0</v>
      </c>
      <c r="J27" s="9">
        <v>304.0</v>
      </c>
      <c r="K27" s="9">
        <v>55.0</v>
      </c>
      <c r="L27" s="10">
        <f t="shared" si="3"/>
        <v>359</v>
      </c>
      <c r="M27" s="11">
        <f t="shared" si="4"/>
        <v>11.96666667</v>
      </c>
      <c r="N27" s="12">
        <v>8.8</v>
      </c>
      <c r="O27" s="12">
        <v>9.3</v>
      </c>
      <c r="P27" s="13">
        <f t="shared" si="5"/>
        <v>9.05</v>
      </c>
    </row>
    <row r="28" ht="15.75" customHeight="1">
      <c r="A28" s="14">
        <f t="shared" si="6"/>
        <v>27</v>
      </c>
      <c r="B28" s="23" t="s">
        <v>66</v>
      </c>
      <c r="C28" s="4" t="s">
        <v>57</v>
      </c>
      <c r="D28" s="4" t="s">
        <v>58</v>
      </c>
      <c r="E28" s="5" t="s">
        <v>27</v>
      </c>
      <c r="F28" s="6">
        <v>8.0</v>
      </c>
      <c r="G28" s="7" t="str">
        <f t="shared" si="1"/>
        <v>August</v>
      </c>
      <c r="H28" s="8" t="str">
        <f t="shared" si="2"/>
        <v>Q3</v>
      </c>
      <c r="I28" s="9">
        <v>30.0</v>
      </c>
      <c r="J28" s="9">
        <v>76.0</v>
      </c>
      <c r="K28" s="9">
        <v>18.0</v>
      </c>
      <c r="L28" s="10">
        <f t="shared" si="3"/>
        <v>94</v>
      </c>
      <c r="M28" s="11">
        <f t="shared" si="4"/>
        <v>3.133333333</v>
      </c>
      <c r="N28" s="12">
        <v>6.0</v>
      </c>
      <c r="O28" s="12">
        <v>6.5</v>
      </c>
      <c r="P28" s="13">
        <f t="shared" si="5"/>
        <v>6.25</v>
      </c>
    </row>
    <row r="29" ht="15.75" customHeight="1">
      <c r="A29" s="14">
        <f t="shared" si="6"/>
        <v>28</v>
      </c>
      <c r="B29" s="23" t="s">
        <v>67</v>
      </c>
      <c r="C29" s="4" t="s">
        <v>57</v>
      </c>
      <c r="D29" s="4" t="s">
        <v>58</v>
      </c>
      <c r="E29" s="5" t="s">
        <v>32</v>
      </c>
      <c r="F29" s="6">
        <v>10.0</v>
      </c>
      <c r="G29" s="7" t="str">
        <f t="shared" si="1"/>
        <v>October</v>
      </c>
      <c r="H29" s="8" t="str">
        <f t="shared" si="2"/>
        <v>Q4</v>
      </c>
      <c r="I29" s="9">
        <v>25.0</v>
      </c>
      <c r="J29" s="9">
        <v>83.0</v>
      </c>
      <c r="K29" s="9">
        <v>28.0</v>
      </c>
      <c r="L29" s="10">
        <f t="shared" si="3"/>
        <v>111</v>
      </c>
      <c r="M29" s="11">
        <f t="shared" si="4"/>
        <v>4.44</v>
      </c>
      <c r="N29" s="12">
        <v>7.8</v>
      </c>
      <c r="O29" s="12">
        <v>8.1</v>
      </c>
      <c r="P29" s="13">
        <f t="shared" si="5"/>
        <v>7.95</v>
      </c>
    </row>
    <row r="30" ht="15.75" customHeight="1">
      <c r="A30" s="14">
        <f t="shared" si="6"/>
        <v>29</v>
      </c>
      <c r="B30" s="23" t="s">
        <v>68</v>
      </c>
      <c r="C30" s="4" t="s">
        <v>57</v>
      </c>
      <c r="D30" s="4" t="s">
        <v>58</v>
      </c>
      <c r="E30" s="5" t="s">
        <v>44</v>
      </c>
      <c r="F30" s="6">
        <v>12.0</v>
      </c>
      <c r="G30" s="7" t="str">
        <f t="shared" si="1"/>
        <v>December</v>
      </c>
      <c r="H30" s="8" t="str">
        <f t="shared" si="2"/>
        <v>Q4</v>
      </c>
      <c r="I30" s="9">
        <v>18.0</v>
      </c>
      <c r="J30" s="9">
        <v>115.0</v>
      </c>
      <c r="K30" s="9">
        <v>25.0</v>
      </c>
      <c r="L30" s="10">
        <f t="shared" si="3"/>
        <v>140</v>
      </c>
      <c r="M30" s="11">
        <f t="shared" si="4"/>
        <v>7.777777778</v>
      </c>
      <c r="N30" s="12">
        <v>7.6</v>
      </c>
      <c r="O30" s="12">
        <v>8.4</v>
      </c>
      <c r="P30" s="13">
        <f t="shared" si="5"/>
        <v>8</v>
      </c>
    </row>
    <row r="31" ht="15.75" customHeight="1">
      <c r="A31" s="14">
        <f t="shared" si="6"/>
        <v>30</v>
      </c>
      <c r="B31" s="23" t="s">
        <v>69</v>
      </c>
      <c r="C31" s="4" t="s">
        <v>57</v>
      </c>
      <c r="D31" s="4" t="s">
        <v>58</v>
      </c>
      <c r="E31" s="5" t="s">
        <v>70</v>
      </c>
      <c r="F31" s="6">
        <v>12.0</v>
      </c>
      <c r="G31" s="7" t="str">
        <f t="shared" si="1"/>
        <v>December</v>
      </c>
      <c r="H31" s="8" t="str">
        <f t="shared" si="2"/>
        <v>Q4</v>
      </c>
      <c r="I31" s="9">
        <v>28.0</v>
      </c>
      <c r="J31" s="9">
        <v>81.0</v>
      </c>
      <c r="K31" s="9">
        <v>24.0</v>
      </c>
      <c r="L31" s="10">
        <f t="shared" si="3"/>
        <v>105</v>
      </c>
      <c r="M31" s="11">
        <f t="shared" si="4"/>
        <v>3.75</v>
      </c>
      <c r="N31" s="12">
        <v>7.4</v>
      </c>
      <c r="O31" s="12">
        <v>7.9</v>
      </c>
      <c r="P31" s="13">
        <f t="shared" si="5"/>
        <v>7.65</v>
      </c>
    </row>
    <row r="32" ht="15.75" customHeight="1">
      <c r="A32" s="14">
        <f t="shared" si="6"/>
        <v>31</v>
      </c>
      <c r="B32" s="23" t="s">
        <v>71</v>
      </c>
      <c r="C32" s="4" t="s">
        <v>72</v>
      </c>
      <c r="D32" s="4" t="s">
        <v>73</v>
      </c>
      <c r="E32" s="19" t="s">
        <v>19</v>
      </c>
      <c r="F32" s="6">
        <v>1.0</v>
      </c>
      <c r="G32" s="7" t="str">
        <f t="shared" si="1"/>
        <v>January</v>
      </c>
      <c r="H32" s="8" t="str">
        <f t="shared" si="2"/>
        <v>Q1</v>
      </c>
      <c r="I32" s="9">
        <v>18.0</v>
      </c>
      <c r="J32" s="9">
        <v>15.0</v>
      </c>
      <c r="K32" s="9">
        <v>6.0</v>
      </c>
      <c r="L32" s="10">
        <f t="shared" si="3"/>
        <v>21</v>
      </c>
      <c r="M32" s="11">
        <f t="shared" si="4"/>
        <v>1.166666667</v>
      </c>
      <c r="N32" s="12">
        <v>5.8</v>
      </c>
      <c r="O32" s="12">
        <v>6.8</v>
      </c>
      <c r="P32" s="13">
        <f t="shared" si="5"/>
        <v>6.3</v>
      </c>
    </row>
    <row r="33" ht="15.75" customHeight="1">
      <c r="A33" s="14">
        <f t="shared" si="6"/>
        <v>32</v>
      </c>
      <c r="B33" s="23" t="s">
        <v>74</v>
      </c>
      <c r="C33" s="4" t="s">
        <v>72</v>
      </c>
      <c r="D33" s="4" t="s">
        <v>73</v>
      </c>
      <c r="E33" s="5" t="s">
        <v>75</v>
      </c>
      <c r="F33" s="6">
        <v>1.0</v>
      </c>
      <c r="G33" s="7" t="str">
        <f t="shared" si="1"/>
        <v>January</v>
      </c>
      <c r="H33" s="8" t="str">
        <f t="shared" si="2"/>
        <v>Q1</v>
      </c>
      <c r="I33" s="9">
        <v>10.0</v>
      </c>
      <c r="J33" s="9">
        <v>9.0</v>
      </c>
      <c r="K33" s="9">
        <v>4.0</v>
      </c>
      <c r="L33" s="10">
        <f t="shared" si="3"/>
        <v>13</v>
      </c>
      <c r="M33" s="11">
        <f t="shared" si="4"/>
        <v>1.3</v>
      </c>
      <c r="N33" s="12">
        <v>6.5</v>
      </c>
      <c r="O33" s="12">
        <v>7.0</v>
      </c>
      <c r="P33" s="13">
        <f t="shared" si="5"/>
        <v>6.75</v>
      </c>
    </row>
    <row r="34" ht="15.75" customHeight="1">
      <c r="A34" s="14">
        <f t="shared" si="6"/>
        <v>33</v>
      </c>
      <c r="B34" s="23" t="s">
        <v>76</v>
      </c>
      <c r="C34" s="4" t="s">
        <v>72</v>
      </c>
      <c r="D34" s="4" t="s">
        <v>73</v>
      </c>
      <c r="E34" s="5" t="s">
        <v>77</v>
      </c>
      <c r="F34" s="6">
        <v>4.0</v>
      </c>
      <c r="G34" s="7" t="str">
        <f t="shared" si="1"/>
        <v>April</v>
      </c>
      <c r="H34" s="8" t="str">
        <f t="shared" si="2"/>
        <v>Q2</v>
      </c>
      <c r="I34" s="9">
        <v>25.0</v>
      </c>
      <c r="J34" s="9">
        <v>30.0</v>
      </c>
      <c r="K34" s="9">
        <v>12.0</v>
      </c>
      <c r="L34" s="10">
        <f t="shared" si="3"/>
        <v>42</v>
      </c>
      <c r="M34" s="11">
        <f t="shared" si="4"/>
        <v>1.68</v>
      </c>
      <c r="N34" s="12">
        <v>7.0</v>
      </c>
      <c r="O34" s="12">
        <v>7.5</v>
      </c>
      <c r="P34" s="13">
        <f t="shared" si="5"/>
        <v>7.25</v>
      </c>
    </row>
    <row r="35" ht="15.75" customHeight="1">
      <c r="A35" s="14">
        <f t="shared" si="6"/>
        <v>34</v>
      </c>
      <c r="B35" s="23" t="s">
        <v>78</v>
      </c>
      <c r="C35" s="4" t="s">
        <v>72</v>
      </c>
      <c r="D35" s="4" t="s">
        <v>73</v>
      </c>
      <c r="E35" s="5" t="s">
        <v>44</v>
      </c>
      <c r="F35" s="6">
        <v>4.0</v>
      </c>
      <c r="G35" s="7" t="str">
        <f t="shared" si="1"/>
        <v>April</v>
      </c>
      <c r="H35" s="8" t="str">
        <f t="shared" si="2"/>
        <v>Q2</v>
      </c>
      <c r="I35" s="9">
        <v>15.0</v>
      </c>
      <c r="J35" s="9">
        <v>19.0</v>
      </c>
      <c r="K35" s="9">
        <v>7.0</v>
      </c>
      <c r="L35" s="10">
        <f t="shared" si="3"/>
        <v>26</v>
      </c>
      <c r="M35" s="11">
        <f t="shared" si="4"/>
        <v>1.733333333</v>
      </c>
      <c r="N35" s="12">
        <v>7.2</v>
      </c>
      <c r="O35" s="12">
        <v>7.1</v>
      </c>
      <c r="P35" s="13">
        <f t="shared" si="5"/>
        <v>7.15</v>
      </c>
    </row>
    <row r="36" ht="15.75" customHeight="1">
      <c r="A36" s="14">
        <f t="shared" si="6"/>
        <v>35</v>
      </c>
      <c r="B36" s="23" t="s">
        <v>79</v>
      </c>
      <c r="C36" s="4" t="s">
        <v>72</v>
      </c>
      <c r="D36" s="4" t="s">
        <v>73</v>
      </c>
      <c r="E36" s="5" t="s">
        <v>80</v>
      </c>
      <c r="F36" s="6">
        <v>6.0</v>
      </c>
      <c r="G36" s="7" t="str">
        <f t="shared" si="1"/>
        <v>June</v>
      </c>
      <c r="H36" s="8" t="str">
        <f t="shared" si="2"/>
        <v>Q2</v>
      </c>
      <c r="I36" s="9">
        <v>2.5</v>
      </c>
      <c r="J36" s="9">
        <v>21.0</v>
      </c>
      <c r="K36" s="9">
        <v>4.5</v>
      </c>
      <c r="L36" s="10">
        <f t="shared" si="3"/>
        <v>25.5</v>
      </c>
      <c r="M36" s="11">
        <f t="shared" si="4"/>
        <v>10.2</v>
      </c>
      <c r="N36" s="12">
        <v>8.2</v>
      </c>
      <c r="O36" s="12">
        <v>9.4</v>
      </c>
      <c r="P36" s="13">
        <f t="shared" si="5"/>
        <v>8.8</v>
      </c>
    </row>
    <row r="37" ht="15.75" customHeight="1">
      <c r="A37" s="14">
        <f t="shared" si="6"/>
        <v>36</v>
      </c>
      <c r="B37" s="23" t="s">
        <v>81</v>
      </c>
      <c r="C37" s="4" t="s">
        <v>72</v>
      </c>
      <c r="D37" s="4" t="s">
        <v>73</v>
      </c>
      <c r="E37" s="19" t="s">
        <v>44</v>
      </c>
      <c r="F37" s="6">
        <v>9.0</v>
      </c>
      <c r="G37" s="7" t="str">
        <f t="shared" si="1"/>
        <v>September</v>
      </c>
      <c r="H37" s="8" t="str">
        <f t="shared" si="2"/>
        <v>Q3</v>
      </c>
      <c r="I37" s="9">
        <v>22.0</v>
      </c>
      <c r="J37" s="9">
        <v>35.0</v>
      </c>
      <c r="K37" s="9">
        <v>15.0</v>
      </c>
      <c r="L37" s="10">
        <f t="shared" si="3"/>
        <v>50</v>
      </c>
      <c r="M37" s="11">
        <f t="shared" si="4"/>
        <v>2.272727273</v>
      </c>
      <c r="N37" s="12">
        <v>7.8</v>
      </c>
      <c r="O37" s="12">
        <v>8.5</v>
      </c>
      <c r="P37" s="13">
        <f t="shared" si="5"/>
        <v>8.15</v>
      </c>
    </row>
    <row r="38" ht="15.75" customHeight="1">
      <c r="A38" s="14">
        <f t="shared" si="6"/>
        <v>37</v>
      </c>
      <c r="B38" s="23" t="s">
        <v>82</v>
      </c>
      <c r="C38" s="4" t="s">
        <v>72</v>
      </c>
      <c r="D38" s="4" t="s">
        <v>73</v>
      </c>
      <c r="E38" s="5" t="s">
        <v>44</v>
      </c>
      <c r="F38" s="6">
        <v>9.0</v>
      </c>
      <c r="G38" s="7" t="str">
        <f t="shared" si="1"/>
        <v>September</v>
      </c>
      <c r="H38" s="8" t="str">
        <f t="shared" si="2"/>
        <v>Q3</v>
      </c>
      <c r="I38" s="9">
        <v>10.0</v>
      </c>
      <c r="J38" s="9">
        <v>18.0</v>
      </c>
      <c r="K38" s="9">
        <v>10.0</v>
      </c>
      <c r="L38" s="10">
        <f t="shared" si="3"/>
        <v>28</v>
      </c>
      <c r="M38" s="11">
        <f t="shared" si="4"/>
        <v>2.8</v>
      </c>
      <c r="N38" s="12">
        <v>8.8</v>
      </c>
      <c r="O38" s="12">
        <v>8.9</v>
      </c>
      <c r="P38" s="13">
        <f t="shared" si="5"/>
        <v>8.85</v>
      </c>
    </row>
    <row r="39" ht="15.75" customHeight="1">
      <c r="A39" s="14">
        <f t="shared" si="6"/>
        <v>38</v>
      </c>
      <c r="B39" s="23" t="s">
        <v>83</v>
      </c>
      <c r="C39" s="4" t="s">
        <v>72</v>
      </c>
      <c r="D39" s="4" t="s">
        <v>73</v>
      </c>
      <c r="E39" s="5" t="s">
        <v>44</v>
      </c>
      <c r="F39" s="6">
        <v>11.0</v>
      </c>
      <c r="G39" s="7" t="str">
        <f t="shared" si="1"/>
        <v>November</v>
      </c>
      <c r="H39" s="8" t="str">
        <f t="shared" si="2"/>
        <v>Q4</v>
      </c>
      <c r="I39" s="9">
        <v>12.0</v>
      </c>
      <c r="J39" s="9">
        <v>28.0</v>
      </c>
      <c r="K39" s="9">
        <v>8.0</v>
      </c>
      <c r="L39" s="10">
        <f t="shared" si="3"/>
        <v>36</v>
      </c>
      <c r="M39" s="11">
        <f t="shared" si="4"/>
        <v>3</v>
      </c>
      <c r="N39" s="12">
        <v>8.0</v>
      </c>
      <c r="O39" s="12">
        <v>8.2</v>
      </c>
      <c r="P39" s="13">
        <f t="shared" si="5"/>
        <v>8.1</v>
      </c>
    </row>
    <row r="40" ht="15.75" customHeight="1">
      <c r="A40" s="14">
        <f t="shared" si="6"/>
        <v>39</v>
      </c>
      <c r="B40" s="23" t="s">
        <v>84</v>
      </c>
      <c r="C40" s="4" t="s">
        <v>72</v>
      </c>
      <c r="D40" s="4" t="s">
        <v>73</v>
      </c>
      <c r="E40" s="5" t="s">
        <v>85</v>
      </c>
      <c r="F40" s="6">
        <v>12.0</v>
      </c>
      <c r="G40" s="7" t="str">
        <f t="shared" si="1"/>
        <v>December</v>
      </c>
      <c r="H40" s="8" t="str">
        <f t="shared" si="2"/>
        <v>Q4</v>
      </c>
      <c r="I40" s="9">
        <v>25.0</v>
      </c>
      <c r="J40" s="9">
        <v>42.0</v>
      </c>
      <c r="K40" s="9">
        <v>12.0</v>
      </c>
      <c r="L40" s="10">
        <f t="shared" si="3"/>
        <v>54</v>
      </c>
      <c r="M40" s="11">
        <f t="shared" si="4"/>
        <v>2.16</v>
      </c>
      <c r="N40" s="12">
        <v>7.5</v>
      </c>
      <c r="O40" s="12">
        <v>8.8</v>
      </c>
      <c r="P40" s="13">
        <f t="shared" si="5"/>
        <v>8.15</v>
      </c>
    </row>
    <row r="41" ht="15.75" customHeight="1">
      <c r="A41" s="14">
        <f t="shared" si="6"/>
        <v>40</v>
      </c>
      <c r="B41" s="23" t="s">
        <v>86</v>
      </c>
      <c r="C41" s="4" t="s">
        <v>72</v>
      </c>
      <c r="D41" s="4" t="s">
        <v>73</v>
      </c>
      <c r="E41" s="5" t="s">
        <v>87</v>
      </c>
      <c r="F41" s="6">
        <v>12.0</v>
      </c>
      <c r="G41" s="7" t="str">
        <f t="shared" si="1"/>
        <v>December</v>
      </c>
      <c r="H41" s="8" t="str">
        <f t="shared" si="2"/>
        <v>Q4</v>
      </c>
      <c r="I41" s="9">
        <v>8.0</v>
      </c>
      <c r="J41" s="9">
        <v>12.0</v>
      </c>
      <c r="K41" s="9">
        <v>5.0</v>
      </c>
      <c r="L41" s="10">
        <f t="shared" si="3"/>
        <v>17</v>
      </c>
      <c r="M41" s="11">
        <f t="shared" si="4"/>
        <v>2.125</v>
      </c>
      <c r="N41" s="12">
        <v>8.5</v>
      </c>
      <c r="O41" s="12">
        <v>9.0</v>
      </c>
      <c r="P41" s="13">
        <f t="shared" si="5"/>
        <v>8.75</v>
      </c>
    </row>
    <row r="42" ht="15.75" customHeight="1">
      <c r="A42" s="14">
        <f t="shared" si="6"/>
        <v>41</v>
      </c>
      <c r="B42" s="23" t="s">
        <v>88</v>
      </c>
      <c r="C42" s="4" t="s">
        <v>89</v>
      </c>
      <c r="D42" s="4" t="s">
        <v>90</v>
      </c>
      <c r="E42" s="5" t="s">
        <v>91</v>
      </c>
      <c r="F42" s="6">
        <v>1.0</v>
      </c>
      <c r="G42" s="7" t="str">
        <f t="shared" si="1"/>
        <v>January</v>
      </c>
      <c r="H42" s="8" t="str">
        <f t="shared" si="2"/>
        <v>Q1</v>
      </c>
      <c r="I42" s="9">
        <v>6.0</v>
      </c>
      <c r="J42" s="9">
        <v>9.0</v>
      </c>
      <c r="K42" s="9">
        <v>2.0</v>
      </c>
      <c r="L42" s="10">
        <f t="shared" si="3"/>
        <v>11</v>
      </c>
      <c r="M42" s="11">
        <f t="shared" si="4"/>
        <v>1.833333333</v>
      </c>
      <c r="N42" s="12">
        <v>6.5</v>
      </c>
      <c r="O42" s="12">
        <v>7.1</v>
      </c>
      <c r="P42" s="13">
        <f t="shared" si="5"/>
        <v>6.8</v>
      </c>
    </row>
    <row r="43" ht="15.75" customHeight="1">
      <c r="A43" s="14">
        <f t="shared" si="6"/>
        <v>42</v>
      </c>
      <c r="B43" s="23" t="s">
        <v>92</v>
      </c>
      <c r="C43" s="4" t="s">
        <v>89</v>
      </c>
      <c r="D43" s="4" t="s">
        <v>90</v>
      </c>
      <c r="E43" s="5" t="s">
        <v>50</v>
      </c>
      <c r="F43" s="6">
        <v>2.0</v>
      </c>
      <c r="G43" s="7" t="str">
        <f t="shared" si="1"/>
        <v>February</v>
      </c>
      <c r="H43" s="8" t="str">
        <f t="shared" si="2"/>
        <v>Q1</v>
      </c>
      <c r="I43" s="9">
        <v>4.5</v>
      </c>
      <c r="J43" s="9">
        <v>8.1</v>
      </c>
      <c r="K43" s="9">
        <v>2.0</v>
      </c>
      <c r="L43" s="10">
        <f t="shared" si="3"/>
        <v>10.1</v>
      </c>
      <c r="M43" s="11">
        <f t="shared" si="4"/>
        <v>2.244444444</v>
      </c>
      <c r="N43" s="12">
        <v>6.5</v>
      </c>
      <c r="O43" s="12">
        <v>7.4</v>
      </c>
      <c r="P43" s="13">
        <f t="shared" si="5"/>
        <v>6.95</v>
      </c>
    </row>
    <row r="44" ht="15.75" customHeight="1">
      <c r="A44" s="14">
        <f t="shared" si="6"/>
        <v>43</v>
      </c>
      <c r="B44" s="23" t="s">
        <v>93</v>
      </c>
      <c r="C44" s="4" t="s">
        <v>89</v>
      </c>
      <c r="D44" s="4" t="s">
        <v>90</v>
      </c>
      <c r="E44" s="5" t="s">
        <v>94</v>
      </c>
      <c r="F44" s="6">
        <v>3.0</v>
      </c>
      <c r="G44" s="7" t="str">
        <f t="shared" si="1"/>
        <v>March</v>
      </c>
      <c r="H44" s="8" t="str">
        <f t="shared" si="2"/>
        <v>Q1</v>
      </c>
      <c r="I44" s="9">
        <v>4.0</v>
      </c>
      <c r="J44" s="9">
        <v>6.45</v>
      </c>
      <c r="K44" s="9">
        <v>2.0</v>
      </c>
      <c r="L44" s="10">
        <f t="shared" si="3"/>
        <v>8.45</v>
      </c>
      <c r="M44" s="11">
        <f t="shared" si="4"/>
        <v>2.1125</v>
      </c>
      <c r="N44" s="12">
        <v>6.0</v>
      </c>
      <c r="O44" s="12">
        <v>7.0</v>
      </c>
      <c r="P44" s="13">
        <f t="shared" si="5"/>
        <v>6.5</v>
      </c>
    </row>
    <row r="45" ht="15.75" customHeight="1">
      <c r="A45" s="14">
        <f t="shared" si="6"/>
        <v>44</v>
      </c>
      <c r="B45" s="23" t="s">
        <v>95</v>
      </c>
      <c r="C45" s="4" t="s">
        <v>89</v>
      </c>
      <c r="D45" s="4" t="s">
        <v>90</v>
      </c>
      <c r="E45" s="5" t="s">
        <v>96</v>
      </c>
      <c r="F45" s="6">
        <v>4.0</v>
      </c>
      <c r="G45" s="7" t="str">
        <f t="shared" si="1"/>
        <v>April</v>
      </c>
      <c r="H45" s="8" t="str">
        <f t="shared" si="2"/>
        <v>Q2</v>
      </c>
      <c r="I45" s="9">
        <v>10.0</v>
      </c>
      <c r="J45" s="9">
        <v>9.2</v>
      </c>
      <c r="K45" s="9">
        <v>3.0</v>
      </c>
      <c r="L45" s="10">
        <f t="shared" si="3"/>
        <v>12.2</v>
      </c>
      <c r="M45" s="11">
        <f t="shared" si="4"/>
        <v>1.22</v>
      </c>
      <c r="N45" s="12">
        <v>7.5</v>
      </c>
      <c r="O45" s="12">
        <v>8.2</v>
      </c>
      <c r="P45" s="13">
        <f t="shared" si="5"/>
        <v>7.85</v>
      </c>
    </row>
    <row r="46" ht="15.75" customHeight="1">
      <c r="A46" s="14">
        <f t="shared" si="6"/>
        <v>45</v>
      </c>
      <c r="B46" s="23" t="s">
        <v>97</v>
      </c>
      <c r="C46" s="4" t="s">
        <v>89</v>
      </c>
      <c r="D46" s="4" t="s">
        <v>90</v>
      </c>
      <c r="E46" s="19" t="s">
        <v>25</v>
      </c>
      <c r="F46" s="6">
        <v>5.0</v>
      </c>
      <c r="G46" s="7" t="str">
        <f t="shared" si="1"/>
        <v>May</v>
      </c>
      <c r="H46" s="8" t="str">
        <f t="shared" si="2"/>
        <v>Q2</v>
      </c>
      <c r="I46" s="9">
        <v>10.0</v>
      </c>
      <c r="J46" s="9">
        <v>34.9</v>
      </c>
      <c r="K46" s="9">
        <v>5.0</v>
      </c>
      <c r="L46" s="10">
        <f t="shared" si="3"/>
        <v>39.9</v>
      </c>
      <c r="M46" s="11">
        <f t="shared" si="4"/>
        <v>3.99</v>
      </c>
      <c r="N46" s="12">
        <v>6.5</v>
      </c>
      <c r="O46" s="12">
        <v>7.8</v>
      </c>
      <c r="P46" s="13">
        <f t="shared" si="5"/>
        <v>7.15</v>
      </c>
    </row>
    <row r="47" ht="15.75" customHeight="1">
      <c r="A47" s="14">
        <f t="shared" si="6"/>
        <v>46</v>
      </c>
      <c r="B47" s="23" t="s">
        <v>98</v>
      </c>
      <c r="C47" s="4" t="s">
        <v>89</v>
      </c>
      <c r="D47" s="4" t="s">
        <v>90</v>
      </c>
      <c r="E47" s="5" t="s">
        <v>99</v>
      </c>
      <c r="F47" s="6">
        <v>6.0</v>
      </c>
      <c r="G47" s="7" t="str">
        <f t="shared" si="1"/>
        <v>June</v>
      </c>
      <c r="H47" s="8" t="str">
        <f t="shared" si="2"/>
        <v>Q2</v>
      </c>
      <c r="I47" s="9">
        <v>15.0</v>
      </c>
      <c r="J47" s="9">
        <v>70.1</v>
      </c>
      <c r="K47" s="9">
        <v>15.0</v>
      </c>
      <c r="L47" s="10">
        <f t="shared" si="3"/>
        <v>85.1</v>
      </c>
      <c r="M47" s="11">
        <f t="shared" si="4"/>
        <v>5.673333333</v>
      </c>
      <c r="N47" s="12">
        <v>7.5</v>
      </c>
      <c r="O47" s="12">
        <v>8.5</v>
      </c>
      <c r="P47" s="13">
        <f t="shared" si="5"/>
        <v>8</v>
      </c>
    </row>
    <row r="48" ht="15.75" customHeight="1">
      <c r="A48" s="14">
        <f t="shared" si="6"/>
        <v>47</v>
      </c>
      <c r="B48" s="23" t="s">
        <v>100</v>
      </c>
      <c r="C48" s="4" t="s">
        <v>89</v>
      </c>
      <c r="D48" s="4" t="s">
        <v>90</v>
      </c>
      <c r="E48" s="5" t="s">
        <v>101</v>
      </c>
      <c r="F48" s="6">
        <v>7.0</v>
      </c>
      <c r="G48" s="7" t="str">
        <f t="shared" si="1"/>
        <v>July</v>
      </c>
      <c r="H48" s="8" t="str">
        <f t="shared" si="2"/>
        <v>Q3</v>
      </c>
      <c r="I48" s="9">
        <v>25.0</v>
      </c>
      <c r="J48" s="9">
        <v>26.2</v>
      </c>
      <c r="K48" s="9">
        <v>3.0</v>
      </c>
      <c r="L48" s="10">
        <f t="shared" si="3"/>
        <v>29.2</v>
      </c>
      <c r="M48" s="11">
        <f t="shared" si="4"/>
        <v>1.168</v>
      </c>
      <c r="N48" s="12">
        <v>7.0</v>
      </c>
      <c r="O48" s="12">
        <v>7.5</v>
      </c>
      <c r="P48" s="13">
        <f t="shared" si="5"/>
        <v>7.25</v>
      </c>
    </row>
    <row r="49" ht="15.75" customHeight="1">
      <c r="A49" s="14">
        <f t="shared" si="6"/>
        <v>48</v>
      </c>
      <c r="B49" s="23" t="s">
        <v>102</v>
      </c>
      <c r="C49" s="4" t="s">
        <v>89</v>
      </c>
      <c r="D49" s="4" t="s">
        <v>90</v>
      </c>
      <c r="E49" s="5" t="s">
        <v>103</v>
      </c>
      <c r="F49" s="6">
        <v>8.0</v>
      </c>
      <c r="G49" s="7" t="str">
        <f t="shared" si="1"/>
        <v>August</v>
      </c>
      <c r="H49" s="8" t="str">
        <f t="shared" si="2"/>
        <v>Q3</v>
      </c>
      <c r="I49" s="9">
        <v>4.0</v>
      </c>
      <c r="J49" s="9">
        <v>5.1</v>
      </c>
      <c r="K49" s="9">
        <v>0.5</v>
      </c>
      <c r="L49" s="10">
        <f t="shared" si="3"/>
        <v>5.6</v>
      </c>
      <c r="M49" s="11">
        <f t="shared" si="4"/>
        <v>1.4</v>
      </c>
      <c r="N49" s="12">
        <v>6.0</v>
      </c>
      <c r="O49" s="12">
        <v>6.8</v>
      </c>
      <c r="P49" s="13">
        <f t="shared" si="5"/>
        <v>6.4</v>
      </c>
    </row>
    <row r="50" ht="15.75" customHeight="1">
      <c r="A50" s="14">
        <f t="shared" si="6"/>
        <v>49</v>
      </c>
      <c r="B50" s="23" t="s">
        <v>104</v>
      </c>
      <c r="C50" s="4" t="s">
        <v>89</v>
      </c>
      <c r="D50" s="4" t="s">
        <v>90</v>
      </c>
      <c r="E50" s="5" t="s">
        <v>44</v>
      </c>
      <c r="F50" s="6">
        <v>10.0</v>
      </c>
      <c r="G50" s="7" t="str">
        <f t="shared" si="1"/>
        <v>October</v>
      </c>
      <c r="H50" s="8" t="str">
        <f t="shared" si="2"/>
        <v>Q4</v>
      </c>
      <c r="I50" s="9">
        <v>18.0</v>
      </c>
      <c r="J50" s="9">
        <v>34.0</v>
      </c>
      <c r="K50" s="9">
        <v>6.0</v>
      </c>
      <c r="L50" s="10">
        <f t="shared" si="3"/>
        <v>40</v>
      </c>
      <c r="M50" s="11">
        <f t="shared" si="4"/>
        <v>2.222222222</v>
      </c>
      <c r="N50" s="12">
        <v>7.0</v>
      </c>
      <c r="O50" s="12">
        <v>8.0</v>
      </c>
      <c r="P50" s="13">
        <f t="shared" si="5"/>
        <v>7.5</v>
      </c>
    </row>
    <row r="51" ht="15.75" customHeight="1">
      <c r="A51" s="14">
        <f t="shared" si="6"/>
        <v>50</v>
      </c>
      <c r="B51" s="23" t="s">
        <v>105</v>
      </c>
      <c r="C51" s="4" t="s">
        <v>89</v>
      </c>
      <c r="D51" s="4" t="s">
        <v>90</v>
      </c>
      <c r="E51" s="5" t="s">
        <v>27</v>
      </c>
      <c r="F51" s="6">
        <v>10.0</v>
      </c>
      <c r="G51" s="7" t="str">
        <f t="shared" si="1"/>
        <v>October</v>
      </c>
      <c r="H51" s="8" t="str">
        <f t="shared" si="2"/>
        <v>Q4</v>
      </c>
      <c r="I51" s="9">
        <v>5.0</v>
      </c>
      <c r="J51" s="9">
        <v>15.3</v>
      </c>
      <c r="K51" s="9">
        <v>1.0</v>
      </c>
      <c r="L51" s="10">
        <f t="shared" si="3"/>
        <v>16.3</v>
      </c>
      <c r="M51" s="11">
        <f t="shared" si="4"/>
        <v>3.26</v>
      </c>
      <c r="N51" s="12">
        <v>6.0</v>
      </c>
      <c r="O51" s="12">
        <v>7.2</v>
      </c>
      <c r="P51" s="13">
        <f t="shared" si="5"/>
        <v>6.6</v>
      </c>
    </row>
    <row r="52" ht="15.75" customHeight="1">
      <c r="A52" s="14">
        <f t="shared" si="6"/>
        <v>51</v>
      </c>
      <c r="B52" s="23" t="s">
        <v>106</v>
      </c>
      <c r="C52" s="4" t="s">
        <v>107</v>
      </c>
      <c r="D52" s="4" t="s">
        <v>108</v>
      </c>
      <c r="E52" s="5" t="s">
        <v>80</v>
      </c>
      <c r="F52" s="6">
        <v>4.0</v>
      </c>
      <c r="G52" s="7" t="str">
        <f t="shared" si="1"/>
        <v>April</v>
      </c>
      <c r="H52" s="8" t="str">
        <f t="shared" si="2"/>
        <v>Q2</v>
      </c>
      <c r="I52" s="9">
        <v>12.0</v>
      </c>
      <c r="J52" s="9">
        <v>7.0</v>
      </c>
      <c r="K52" s="9">
        <v>6.0</v>
      </c>
      <c r="L52" s="10">
        <f t="shared" si="3"/>
        <v>13</v>
      </c>
      <c r="M52" s="11">
        <f t="shared" si="4"/>
        <v>1.083333333</v>
      </c>
      <c r="N52" s="12">
        <v>5.5</v>
      </c>
      <c r="O52" s="12">
        <v>6.2</v>
      </c>
      <c r="P52" s="13">
        <f t="shared" si="5"/>
        <v>5.85</v>
      </c>
    </row>
    <row r="53" ht="15.75" customHeight="1">
      <c r="A53" s="14">
        <f t="shared" si="6"/>
        <v>52</v>
      </c>
      <c r="B53" s="23" t="s">
        <v>109</v>
      </c>
      <c r="C53" s="4" t="s">
        <v>107</v>
      </c>
      <c r="D53" s="4" t="s">
        <v>108</v>
      </c>
      <c r="E53" s="5" t="s">
        <v>23</v>
      </c>
      <c r="F53" s="6">
        <v>5.0</v>
      </c>
      <c r="G53" s="7" t="str">
        <f t="shared" si="1"/>
        <v>May</v>
      </c>
      <c r="H53" s="8" t="str">
        <f t="shared" si="2"/>
        <v>Q2</v>
      </c>
      <c r="I53" s="9">
        <v>10.0</v>
      </c>
      <c r="J53" s="9">
        <v>55.0</v>
      </c>
      <c r="K53" s="9">
        <v>5.0</v>
      </c>
      <c r="L53" s="10">
        <f t="shared" si="3"/>
        <v>60</v>
      </c>
      <c r="M53" s="11">
        <f t="shared" si="4"/>
        <v>6</v>
      </c>
      <c r="N53" s="12">
        <v>6.8</v>
      </c>
      <c r="O53" s="12">
        <v>7.0</v>
      </c>
      <c r="P53" s="13">
        <f t="shared" si="5"/>
        <v>6.9</v>
      </c>
    </row>
    <row r="54" ht="15.75" customHeight="1">
      <c r="A54" s="14">
        <f t="shared" si="6"/>
        <v>53</v>
      </c>
      <c r="B54" s="23" t="s">
        <v>110</v>
      </c>
      <c r="C54" s="4" t="s">
        <v>107</v>
      </c>
      <c r="D54" s="4" t="s">
        <v>108</v>
      </c>
      <c r="E54" s="5" t="s">
        <v>80</v>
      </c>
      <c r="F54" s="6">
        <v>7.0</v>
      </c>
      <c r="G54" s="7" t="str">
        <f t="shared" si="1"/>
        <v>July</v>
      </c>
      <c r="H54" s="8" t="str">
        <f t="shared" si="2"/>
        <v>Q3</v>
      </c>
      <c r="I54" s="9">
        <v>12.0</v>
      </c>
      <c r="J54" s="9">
        <v>124.0</v>
      </c>
      <c r="K54" s="9">
        <v>22.0</v>
      </c>
      <c r="L54" s="10">
        <f t="shared" si="3"/>
        <v>146</v>
      </c>
      <c r="M54" s="11">
        <f t="shared" si="4"/>
        <v>12.16666667</v>
      </c>
      <c r="N54" s="12">
        <v>8.4</v>
      </c>
      <c r="O54" s="12">
        <v>8.9</v>
      </c>
      <c r="P54" s="13">
        <f t="shared" si="5"/>
        <v>8.65</v>
      </c>
    </row>
    <row r="55" ht="15.75" customHeight="1">
      <c r="A55" s="14">
        <f t="shared" si="6"/>
        <v>54</v>
      </c>
      <c r="B55" s="23" t="s">
        <v>111</v>
      </c>
      <c r="C55" s="4" t="s">
        <v>107</v>
      </c>
      <c r="D55" s="4" t="s">
        <v>108</v>
      </c>
      <c r="E55" s="5" t="s">
        <v>42</v>
      </c>
      <c r="F55" s="6">
        <v>8.0</v>
      </c>
      <c r="G55" s="7" t="str">
        <f t="shared" si="1"/>
        <v>August</v>
      </c>
      <c r="H55" s="8" t="str">
        <f t="shared" si="2"/>
        <v>Q3</v>
      </c>
      <c r="I55" s="9">
        <v>15.0</v>
      </c>
      <c r="J55" s="9">
        <v>11.0</v>
      </c>
      <c r="K55" s="9">
        <v>8.0</v>
      </c>
      <c r="L55" s="10">
        <f t="shared" si="3"/>
        <v>19</v>
      </c>
      <c r="M55" s="11">
        <f t="shared" si="4"/>
        <v>1.266666667</v>
      </c>
      <c r="N55" s="12">
        <v>6.0</v>
      </c>
      <c r="O55" s="12">
        <v>6.8</v>
      </c>
      <c r="P55" s="13">
        <f t="shared" si="5"/>
        <v>6.4</v>
      </c>
    </row>
    <row r="56" ht="15.75" customHeight="1">
      <c r="A56" s="14">
        <f t="shared" si="6"/>
        <v>55</v>
      </c>
      <c r="B56" s="23" t="s">
        <v>112</v>
      </c>
      <c r="C56" s="4" t="s">
        <v>107</v>
      </c>
      <c r="D56" s="4" t="s">
        <v>108</v>
      </c>
      <c r="E56" s="5" t="s">
        <v>44</v>
      </c>
      <c r="F56" s="6">
        <v>9.0</v>
      </c>
      <c r="G56" s="7" t="str">
        <f t="shared" si="1"/>
        <v>September</v>
      </c>
      <c r="H56" s="8" t="str">
        <f t="shared" si="2"/>
        <v>Q3</v>
      </c>
      <c r="I56" s="9">
        <v>10.0</v>
      </c>
      <c r="J56" s="9">
        <v>8.0</v>
      </c>
      <c r="K56" s="9">
        <v>5.0</v>
      </c>
      <c r="L56" s="10">
        <f t="shared" si="3"/>
        <v>13</v>
      </c>
      <c r="M56" s="11">
        <f t="shared" si="4"/>
        <v>1.3</v>
      </c>
      <c r="N56" s="12">
        <v>7.2</v>
      </c>
      <c r="O56" s="12">
        <v>7.5</v>
      </c>
      <c r="P56" s="13">
        <f t="shared" si="5"/>
        <v>7.35</v>
      </c>
    </row>
    <row r="57" ht="15.75" customHeight="1">
      <c r="A57" s="14">
        <f t="shared" si="6"/>
        <v>56</v>
      </c>
      <c r="B57" s="23" t="s">
        <v>113</v>
      </c>
      <c r="C57" s="4" t="s">
        <v>107</v>
      </c>
      <c r="D57" s="4" t="s">
        <v>108</v>
      </c>
      <c r="E57" s="5" t="s">
        <v>19</v>
      </c>
      <c r="F57" s="6">
        <v>10.0</v>
      </c>
      <c r="G57" s="7" t="str">
        <f t="shared" si="1"/>
        <v>October</v>
      </c>
      <c r="H57" s="8" t="str">
        <f t="shared" si="2"/>
        <v>Q4</v>
      </c>
      <c r="I57" s="9">
        <v>125.0</v>
      </c>
      <c r="J57" s="9">
        <v>845.0</v>
      </c>
      <c r="K57" s="9">
        <v>110.0</v>
      </c>
      <c r="L57" s="10">
        <f t="shared" si="3"/>
        <v>955</v>
      </c>
      <c r="M57" s="11">
        <f t="shared" si="4"/>
        <v>7.64</v>
      </c>
      <c r="N57" s="12">
        <v>9.2</v>
      </c>
      <c r="O57" s="12">
        <v>9.6</v>
      </c>
      <c r="P57" s="13">
        <f t="shared" si="5"/>
        <v>9.4</v>
      </c>
    </row>
    <row r="58" ht="15.75" customHeight="1">
      <c r="A58" s="14">
        <f t="shared" si="6"/>
        <v>57</v>
      </c>
      <c r="B58" s="23" t="s">
        <v>114</v>
      </c>
      <c r="C58" s="4" t="s">
        <v>107</v>
      </c>
      <c r="D58" s="4" t="s">
        <v>108</v>
      </c>
      <c r="E58" s="5" t="s">
        <v>19</v>
      </c>
      <c r="F58" s="6">
        <v>11.0</v>
      </c>
      <c r="G58" s="7" t="str">
        <f t="shared" si="1"/>
        <v>November</v>
      </c>
      <c r="H58" s="8" t="str">
        <f t="shared" si="2"/>
        <v>Q4</v>
      </c>
      <c r="I58" s="9">
        <v>8.0</v>
      </c>
      <c r="J58" s="9">
        <v>6.0</v>
      </c>
      <c r="K58" s="9">
        <v>4.0</v>
      </c>
      <c r="L58" s="10">
        <f t="shared" si="3"/>
        <v>10</v>
      </c>
      <c r="M58" s="11">
        <f t="shared" si="4"/>
        <v>1.25</v>
      </c>
      <c r="N58" s="12">
        <v>5.8</v>
      </c>
      <c r="O58" s="12">
        <v>6.4</v>
      </c>
      <c r="P58" s="13">
        <f t="shared" si="5"/>
        <v>6.1</v>
      </c>
    </row>
    <row r="59" ht="15.75" customHeight="1">
      <c r="A59" s="14">
        <f t="shared" si="6"/>
        <v>58</v>
      </c>
      <c r="B59" s="23" t="s">
        <v>115</v>
      </c>
      <c r="C59" s="4" t="s">
        <v>107</v>
      </c>
      <c r="D59" s="4" t="s">
        <v>108</v>
      </c>
      <c r="E59" s="5" t="s">
        <v>19</v>
      </c>
      <c r="F59" s="6">
        <v>12.0</v>
      </c>
      <c r="G59" s="7" t="str">
        <f t="shared" si="1"/>
        <v>December</v>
      </c>
      <c r="H59" s="8" t="str">
        <f t="shared" si="2"/>
        <v>Q4</v>
      </c>
      <c r="I59" s="9">
        <v>50.0</v>
      </c>
      <c r="J59" s="9">
        <v>35.0</v>
      </c>
      <c r="K59" s="9">
        <v>32.0</v>
      </c>
      <c r="L59" s="10">
        <f t="shared" si="3"/>
        <v>67</v>
      </c>
      <c r="M59" s="11">
        <f t="shared" si="4"/>
        <v>1.34</v>
      </c>
      <c r="N59" s="12">
        <v>5.2</v>
      </c>
      <c r="O59" s="12">
        <v>6.5</v>
      </c>
      <c r="P59" s="13">
        <f t="shared" si="5"/>
        <v>5.85</v>
      </c>
    </row>
    <row r="60" ht="15.75" customHeight="1">
      <c r="A60" s="14">
        <f t="shared" si="6"/>
        <v>59</v>
      </c>
      <c r="B60" s="23" t="s">
        <v>116</v>
      </c>
      <c r="C60" s="4" t="s">
        <v>107</v>
      </c>
      <c r="D60" s="4" t="s">
        <v>108</v>
      </c>
      <c r="E60" s="5" t="s">
        <v>117</v>
      </c>
      <c r="F60" s="6">
        <v>12.0</v>
      </c>
      <c r="G60" s="7" t="str">
        <f t="shared" si="1"/>
        <v>December</v>
      </c>
      <c r="H60" s="8" t="str">
        <f t="shared" si="2"/>
        <v>Q4</v>
      </c>
      <c r="I60" s="9">
        <v>45.0</v>
      </c>
      <c r="J60" s="9">
        <v>32.0</v>
      </c>
      <c r="K60" s="9">
        <v>25.0</v>
      </c>
      <c r="L60" s="10">
        <f t="shared" si="3"/>
        <v>57</v>
      </c>
      <c r="M60" s="11">
        <f t="shared" si="4"/>
        <v>1.266666667</v>
      </c>
      <c r="N60" s="12">
        <v>6.5</v>
      </c>
      <c r="O60" s="12">
        <v>7.2</v>
      </c>
      <c r="P60" s="13">
        <f t="shared" si="5"/>
        <v>6.85</v>
      </c>
    </row>
    <row r="61" ht="15.75" customHeight="1">
      <c r="A61" s="14">
        <f t="shared" si="6"/>
        <v>60</v>
      </c>
      <c r="B61" s="24">
        <v>45.0</v>
      </c>
      <c r="C61" s="4" t="s">
        <v>107</v>
      </c>
      <c r="D61" s="4" t="s">
        <v>108</v>
      </c>
      <c r="E61" s="5" t="s">
        <v>52</v>
      </c>
      <c r="F61" s="6">
        <v>12.0</v>
      </c>
      <c r="G61" s="7" t="str">
        <f t="shared" si="1"/>
        <v>December</v>
      </c>
      <c r="H61" s="8" t="str">
        <f t="shared" si="2"/>
        <v>Q4</v>
      </c>
      <c r="I61" s="9">
        <v>70.0</v>
      </c>
      <c r="J61" s="9">
        <v>16.0</v>
      </c>
      <c r="K61" s="9">
        <v>40.0</v>
      </c>
      <c r="L61" s="10">
        <f t="shared" si="3"/>
        <v>56</v>
      </c>
      <c r="M61" s="11">
        <f t="shared" si="4"/>
        <v>0.8</v>
      </c>
      <c r="N61" s="12">
        <v>7.4</v>
      </c>
      <c r="O61" s="12">
        <v>8.1</v>
      </c>
      <c r="P61" s="13">
        <f t="shared" si="5"/>
        <v>7.75</v>
      </c>
    </row>
    <row r="62" ht="15.75" customHeight="1">
      <c r="A62" s="14">
        <f t="shared" si="6"/>
        <v>61</v>
      </c>
      <c r="B62" s="23" t="s">
        <v>118</v>
      </c>
      <c r="C62" s="4" t="s">
        <v>119</v>
      </c>
      <c r="D62" s="4" t="s">
        <v>120</v>
      </c>
      <c r="E62" s="5" t="s">
        <v>46</v>
      </c>
      <c r="F62" s="6">
        <v>1.0</v>
      </c>
      <c r="G62" s="7" t="str">
        <f t="shared" si="1"/>
        <v>January</v>
      </c>
      <c r="H62" s="8" t="str">
        <f t="shared" si="2"/>
        <v>Q1</v>
      </c>
      <c r="I62" s="9">
        <v>51.2</v>
      </c>
      <c r="J62" s="9">
        <v>330.0</v>
      </c>
      <c r="K62" s="9">
        <v>30.0</v>
      </c>
      <c r="L62" s="10">
        <f t="shared" si="3"/>
        <v>360</v>
      </c>
      <c r="M62" s="11">
        <f t="shared" si="4"/>
        <v>7.03125</v>
      </c>
      <c r="N62" s="12">
        <v>7.6</v>
      </c>
      <c r="O62" s="12">
        <v>8.5</v>
      </c>
      <c r="P62" s="13">
        <f t="shared" si="5"/>
        <v>8.05</v>
      </c>
    </row>
    <row r="63" ht="15.75" customHeight="1">
      <c r="A63" s="14">
        <f t="shared" si="6"/>
        <v>62</v>
      </c>
      <c r="B63" s="23" t="s">
        <v>121</v>
      </c>
      <c r="C63" s="4" t="s">
        <v>119</v>
      </c>
      <c r="D63" s="4" t="s">
        <v>120</v>
      </c>
      <c r="E63" s="5" t="s">
        <v>19</v>
      </c>
      <c r="F63" s="6">
        <v>1.0</v>
      </c>
      <c r="G63" s="7" t="str">
        <f t="shared" si="1"/>
        <v>January</v>
      </c>
      <c r="H63" s="8" t="str">
        <f t="shared" si="2"/>
        <v>Q1</v>
      </c>
      <c r="I63" s="9">
        <v>400.0</v>
      </c>
      <c r="J63" s="9">
        <v>186.0</v>
      </c>
      <c r="K63" s="9">
        <v>105.0</v>
      </c>
      <c r="L63" s="10">
        <f t="shared" si="3"/>
        <v>291</v>
      </c>
      <c r="M63" s="11">
        <f t="shared" si="4"/>
        <v>0.7275</v>
      </c>
      <c r="N63" s="12">
        <v>4.8</v>
      </c>
      <c r="O63" s="12">
        <v>6.1</v>
      </c>
      <c r="P63" s="13">
        <f t="shared" si="5"/>
        <v>5.45</v>
      </c>
    </row>
    <row r="64" ht="15.75" customHeight="1">
      <c r="A64" s="14">
        <f t="shared" si="6"/>
        <v>63</v>
      </c>
      <c r="B64" s="23" t="s">
        <v>122</v>
      </c>
      <c r="C64" s="4" t="s">
        <v>119</v>
      </c>
      <c r="D64" s="4" t="s">
        <v>120</v>
      </c>
      <c r="E64" s="5" t="s">
        <v>123</v>
      </c>
      <c r="F64" s="6">
        <v>1.0</v>
      </c>
      <c r="G64" s="7" t="str">
        <f t="shared" si="1"/>
        <v>January</v>
      </c>
      <c r="H64" s="8" t="str">
        <f t="shared" si="2"/>
        <v>Q1</v>
      </c>
      <c r="I64" s="9">
        <v>100.0</v>
      </c>
      <c r="J64" s="9">
        <v>107.0</v>
      </c>
      <c r="K64" s="9">
        <v>45.0</v>
      </c>
      <c r="L64" s="10">
        <f t="shared" si="3"/>
        <v>152</v>
      </c>
      <c r="M64" s="11">
        <f t="shared" si="4"/>
        <v>1.52</v>
      </c>
      <c r="N64" s="12">
        <v>6.2</v>
      </c>
      <c r="O64" s="12">
        <v>7.2</v>
      </c>
      <c r="P64" s="13">
        <f t="shared" si="5"/>
        <v>6.7</v>
      </c>
    </row>
    <row r="65" ht="15.75" customHeight="1">
      <c r="A65" s="14">
        <f t="shared" si="6"/>
        <v>64</v>
      </c>
      <c r="B65" s="23" t="s">
        <v>124</v>
      </c>
      <c r="C65" s="4" t="s">
        <v>119</v>
      </c>
      <c r="D65" s="4" t="s">
        <v>120</v>
      </c>
      <c r="E65" s="5" t="s">
        <v>125</v>
      </c>
      <c r="F65" s="6">
        <v>2.0</v>
      </c>
      <c r="G65" s="7" t="str">
        <f t="shared" si="1"/>
        <v>February</v>
      </c>
      <c r="H65" s="8" t="str">
        <f t="shared" si="2"/>
        <v>Q1</v>
      </c>
      <c r="I65" s="9">
        <v>85.0</v>
      </c>
      <c r="J65" s="9">
        <v>100.0</v>
      </c>
      <c r="K65" s="9">
        <v>45.0</v>
      </c>
      <c r="L65" s="10">
        <f t="shared" si="3"/>
        <v>145</v>
      </c>
      <c r="M65" s="11">
        <f t="shared" si="4"/>
        <v>1.705882353</v>
      </c>
      <c r="N65" s="12">
        <v>6.8</v>
      </c>
      <c r="O65" s="12">
        <v>7.4</v>
      </c>
      <c r="P65" s="13">
        <f t="shared" si="5"/>
        <v>7.1</v>
      </c>
    </row>
    <row r="66" ht="15.75" customHeight="1">
      <c r="A66" s="14">
        <f t="shared" si="6"/>
        <v>65</v>
      </c>
      <c r="B66" s="23" t="s">
        <v>126</v>
      </c>
      <c r="C66" s="4" t="s">
        <v>119</v>
      </c>
      <c r="D66" s="4" t="s">
        <v>120</v>
      </c>
      <c r="E66" s="5" t="s">
        <v>44</v>
      </c>
      <c r="F66" s="6">
        <v>3.0</v>
      </c>
      <c r="G66" s="7" t="str">
        <f t="shared" si="1"/>
        <v>March</v>
      </c>
      <c r="H66" s="8" t="str">
        <f t="shared" si="2"/>
        <v>Q1</v>
      </c>
      <c r="I66" s="9">
        <v>120.0</v>
      </c>
      <c r="J66" s="9">
        <v>132.0</v>
      </c>
      <c r="K66" s="9">
        <v>52.0</v>
      </c>
      <c r="L66" s="10">
        <f t="shared" si="3"/>
        <v>184</v>
      </c>
      <c r="M66" s="11">
        <f t="shared" si="4"/>
        <v>1.533333333</v>
      </c>
      <c r="N66" s="12">
        <v>7.2</v>
      </c>
      <c r="O66" s="12">
        <v>7.9</v>
      </c>
      <c r="P66" s="13">
        <f t="shared" si="5"/>
        <v>7.55</v>
      </c>
    </row>
    <row r="67" ht="15.75" customHeight="1">
      <c r="A67" s="14">
        <f t="shared" si="6"/>
        <v>66</v>
      </c>
      <c r="B67" s="23" t="s">
        <v>127</v>
      </c>
      <c r="C67" s="4" t="s">
        <v>119</v>
      </c>
      <c r="D67" s="4" t="s">
        <v>120</v>
      </c>
      <c r="E67" s="5" t="s">
        <v>70</v>
      </c>
      <c r="F67" s="16">
        <v>5.0</v>
      </c>
      <c r="G67" s="7" t="str">
        <f t="shared" si="1"/>
        <v>May</v>
      </c>
      <c r="H67" s="8" t="str">
        <f t="shared" si="2"/>
        <v>Q2</v>
      </c>
      <c r="I67" s="9">
        <v>70.0</v>
      </c>
      <c r="J67" s="9">
        <v>120.0</v>
      </c>
      <c r="K67" s="9">
        <v>54.0</v>
      </c>
      <c r="L67" s="10">
        <f t="shared" si="3"/>
        <v>174</v>
      </c>
      <c r="M67" s="11">
        <f t="shared" si="4"/>
        <v>2.485714286</v>
      </c>
      <c r="N67" s="12">
        <v>8.2</v>
      </c>
      <c r="O67" s="12">
        <v>8.7</v>
      </c>
      <c r="P67" s="13">
        <f t="shared" si="5"/>
        <v>8.45</v>
      </c>
    </row>
    <row r="68" ht="15.75" customHeight="1">
      <c r="A68" s="14">
        <f t="shared" si="6"/>
        <v>67</v>
      </c>
      <c r="B68" s="23" t="s">
        <v>128</v>
      </c>
      <c r="C68" s="4" t="s">
        <v>119</v>
      </c>
      <c r="D68" s="4" t="s">
        <v>120</v>
      </c>
      <c r="E68" s="5" t="s">
        <v>129</v>
      </c>
      <c r="F68" s="6">
        <v>7.0</v>
      </c>
      <c r="G68" s="7" t="str">
        <f t="shared" si="1"/>
        <v>July</v>
      </c>
      <c r="H68" s="8" t="str">
        <f t="shared" si="2"/>
        <v>Q3</v>
      </c>
      <c r="I68" s="9">
        <v>130.0</v>
      </c>
      <c r="J68" s="9">
        <v>82.0</v>
      </c>
      <c r="K68" s="9">
        <v>50.0</v>
      </c>
      <c r="L68" s="10">
        <f t="shared" si="3"/>
        <v>132</v>
      </c>
      <c r="M68" s="11">
        <f t="shared" si="4"/>
        <v>1.015384615</v>
      </c>
      <c r="N68" s="12">
        <v>5.5</v>
      </c>
      <c r="O68" s="12">
        <v>5.8</v>
      </c>
      <c r="P68" s="13">
        <f t="shared" si="5"/>
        <v>5.65</v>
      </c>
    </row>
    <row r="69" ht="15.75" customHeight="1">
      <c r="A69" s="14">
        <f t="shared" si="6"/>
        <v>68</v>
      </c>
      <c r="B69" s="23" t="s">
        <v>130</v>
      </c>
      <c r="C69" s="4" t="s">
        <v>119</v>
      </c>
      <c r="D69" s="4" t="s">
        <v>120</v>
      </c>
      <c r="E69" s="5" t="s">
        <v>19</v>
      </c>
      <c r="F69" s="6">
        <v>7.0</v>
      </c>
      <c r="G69" s="7" t="str">
        <f t="shared" si="1"/>
        <v>July</v>
      </c>
      <c r="H69" s="8" t="str">
        <f t="shared" si="2"/>
        <v>Q3</v>
      </c>
      <c r="I69" s="9">
        <v>250.0</v>
      </c>
      <c r="J69" s="9">
        <v>114.0</v>
      </c>
      <c r="K69" s="9">
        <v>60.0</v>
      </c>
      <c r="L69" s="10">
        <f t="shared" si="3"/>
        <v>174</v>
      </c>
      <c r="M69" s="11">
        <f t="shared" si="4"/>
        <v>0.696</v>
      </c>
      <c r="N69" s="12">
        <v>4.2</v>
      </c>
      <c r="O69" s="12">
        <v>4.8</v>
      </c>
      <c r="P69" s="13">
        <f t="shared" si="5"/>
        <v>4.5</v>
      </c>
    </row>
    <row r="70" ht="15.75" customHeight="1">
      <c r="A70" s="14">
        <f t="shared" si="6"/>
        <v>69</v>
      </c>
      <c r="B70" s="23" t="s">
        <v>131</v>
      </c>
      <c r="C70" s="4" t="s">
        <v>119</v>
      </c>
      <c r="D70" s="4" t="s">
        <v>120</v>
      </c>
      <c r="E70" s="5" t="s">
        <v>19</v>
      </c>
      <c r="F70" s="6">
        <v>9.0</v>
      </c>
      <c r="G70" s="7" t="str">
        <f t="shared" si="1"/>
        <v>September</v>
      </c>
      <c r="H70" s="8" t="str">
        <f t="shared" si="2"/>
        <v>Q3</v>
      </c>
      <c r="I70" s="9">
        <v>250.4</v>
      </c>
      <c r="J70" s="9">
        <v>308.2</v>
      </c>
      <c r="K70" s="9">
        <v>95.0</v>
      </c>
      <c r="L70" s="10">
        <f t="shared" si="3"/>
        <v>403.2</v>
      </c>
      <c r="M70" s="11">
        <f t="shared" si="4"/>
        <v>1.610223642</v>
      </c>
      <c r="N70" s="12">
        <v>8.0</v>
      </c>
      <c r="O70" s="12">
        <v>9.2</v>
      </c>
      <c r="P70" s="13">
        <f t="shared" si="5"/>
        <v>8.6</v>
      </c>
    </row>
    <row r="71" ht="15.75" customHeight="1">
      <c r="A71" s="14">
        <f t="shared" si="6"/>
        <v>70</v>
      </c>
      <c r="B71" s="23" t="s">
        <v>132</v>
      </c>
      <c r="C71" s="4" t="s">
        <v>119</v>
      </c>
      <c r="D71" s="4" t="s">
        <v>120</v>
      </c>
      <c r="E71" s="5" t="s">
        <v>133</v>
      </c>
      <c r="F71" s="6">
        <v>9.0</v>
      </c>
      <c r="G71" s="7" t="str">
        <f t="shared" si="1"/>
        <v>September</v>
      </c>
      <c r="H71" s="8" t="str">
        <f t="shared" si="2"/>
        <v>Q3</v>
      </c>
      <c r="I71" s="9">
        <v>60.0</v>
      </c>
      <c r="J71" s="9">
        <v>141.0</v>
      </c>
      <c r="K71" s="9">
        <v>40.0</v>
      </c>
      <c r="L71" s="10">
        <f t="shared" si="3"/>
        <v>181</v>
      </c>
      <c r="M71" s="11">
        <f t="shared" si="4"/>
        <v>3.016666667</v>
      </c>
      <c r="N71" s="12">
        <v>7.8</v>
      </c>
      <c r="O71" s="12">
        <v>8.8</v>
      </c>
      <c r="P71" s="13">
        <f t="shared" si="5"/>
        <v>8.3</v>
      </c>
    </row>
    <row r="72" ht="15.75" customHeight="1"/>
    <row r="73" ht="15.75" customHeight="1">
      <c r="H73" s="25"/>
    </row>
    <row r="74" ht="15.75" customHeight="1">
      <c r="H74" s="25"/>
    </row>
    <row r="75" ht="15.75" customHeight="1">
      <c r="H75" s="25"/>
    </row>
    <row r="76" ht="15.75" customHeight="1">
      <c r="H76" s="25"/>
    </row>
    <row r="77" ht="15.75" customHeight="1">
      <c r="H77" s="25"/>
    </row>
    <row r="78" ht="15.75" customHeight="1">
      <c r="H78" s="25"/>
    </row>
    <row r="79" ht="15.75" customHeight="1">
      <c r="H79" s="25"/>
    </row>
    <row r="80" ht="15.75" customHeight="1">
      <c r="H80" s="25"/>
    </row>
    <row r="81" ht="15.75" customHeight="1">
      <c r="H81" s="25"/>
    </row>
    <row r="82" ht="15.75" customHeight="1">
      <c r="H82" s="25"/>
    </row>
    <row r="83" ht="15.75" customHeight="1">
      <c r="H83" s="25"/>
    </row>
    <row r="84" ht="15.75" customHeight="1">
      <c r="H84" s="25"/>
    </row>
    <row r="85" ht="15.75" customHeight="1">
      <c r="H85" s="25"/>
    </row>
    <row r="86" ht="15.75" customHeight="1">
      <c r="H86" s="25"/>
    </row>
    <row r="87" ht="15.75" customHeight="1">
      <c r="H87" s="25"/>
    </row>
    <row r="88" ht="15.75" customHeight="1">
      <c r="H88" s="25"/>
    </row>
    <row r="89" ht="15.75" customHeight="1">
      <c r="H89" s="25"/>
    </row>
    <row r="90" ht="15.75" customHeight="1">
      <c r="H90" s="25"/>
    </row>
    <row r="91" ht="15.75" customHeight="1">
      <c r="H91" s="25"/>
    </row>
    <row r="92" ht="15.75" customHeight="1">
      <c r="H92" s="25"/>
    </row>
    <row r="93" ht="15.75" customHeight="1">
      <c r="H93" s="25"/>
    </row>
    <row r="94" ht="15.75" customHeight="1">
      <c r="H94" s="25"/>
    </row>
    <row r="95" ht="15.75" customHeight="1">
      <c r="H95" s="25"/>
    </row>
    <row r="96" ht="15.75" customHeight="1">
      <c r="H96" s="25"/>
    </row>
    <row r="97" ht="15.75" customHeight="1">
      <c r="H97" s="25"/>
    </row>
    <row r="98" ht="15.75" customHeight="1">
      <c r="H98" s="25"/>
    </row>
    <row r="99" ht="15.75" customHeight="1">
      <c r="H99" s="25"/>
    </row>
    <row r="100" ht="15.75" customHeight="1">
      <c r="H100" s="25"/>
    </row>
    <row r="101" ht="15.75" customHeight="1">
      <c r="H101" s="25"/>
    </row>
    <row r="102" ht="15.75" customHeight="1">
      <c r="H102" s="25"/>
    </row>
    <row r="103" ht="15.75" customHeight="1">
      <c r="H103" s="25"/>
    </row>
    <row r="104" ht="15.75" customHeight="1">
      <c r="H104" s="25"/>
    </row>
    <row r="105" ht="15.75" customHeight="1">
      <c r="H105" s="25"/>
    </row>
    <row r="106" ht="15.75" customHeight="1">
      <c r="H106" s="25"/>
    </row>
    <row r="107" ht="15.75" customHeight="1">
      <c r="H107" s="25"/>
    </row>
    <row r="108" ht="15.75" customHeight="1">
      <c r="H108" s="25"/>
    </row>
    <row r="109" ht="15.75" customHeight="1">
      <c r="H109" s="25"/>
    </row>
    <row r="110" ht="15.75" customHeight="1">
      <c r="H110" s="25"/>
    </row>
    <row r="111" ht="15.75" customHeight="1">
      <c r="H111" s="25"/>
    </row>
    <row r="112" ht="15.75" customHeight="1">
      <c r="H112" s="25"/>
    </row>
    <row r="113" ht="15.75" customHeight="1">
      <c r="H113" s="25"/>
    </row>
    <row r="114" ht="15.75" customHeight="1">
      <c r="H114" s="25"/>
    </row>
    <row r="115" ht="15.75" customHeight="1">
      <c r="H115" s="25"/>
    </row>
    <row r="116" ht="15.75" customHeight="1">
      <c r="H116" s="25"/>
    </row>
    <row r="117" ht="15.75" customHeight="1">
      <c r="H117" s="25"/>
    </row>
    <row r="118" ht="15.75" customHeight="1">
      <c r="H118" s="25"/>
    </row>
    <row r="119" ht="15.75" customHeight="1">
      <c r="H119" s="25"/>
    </row>
    <row r="120" ht="15.75" customHeight="1">
      <c r="H120" s="25"/>
    </row>
    <row r="121" ht="15.75" customHeight="1">
      <c r="H121" s="25"/>
    </row>
    <row r="122" ht="15.75" customHeight="1">
      <c r="H122" s="25"/>
    </row>
    <row r="123" ht="15.75" customHeight="1">
      <c r="H123" s="25"/>
    </row>
    <row r="124" ht="15.75" customHeight="1">
      <c r="H124" s="25"/>
    </row>
    <row r="125" ht="15.75" customHeight="1">
      <c r="H125" s="25"/>
    </row>
    <row r="126" ht="15.75" customHeight="1">
      <c r="H126" s="25"/>
    </row>
    <row r="127" ht="15.75" customHeight="1">
      <c r="H127" s="25"/>
    </row>
    <row r="128" ht="15.75" customHeight="1">
      <c r="H128" s="25"/>
    </row>
    <row r="129" ht="15.75" customHeight="1">
      <c r="H129" s="25"/>
    </row>
    <row r="130" ht="15.75" customHeight="1">
      <c r="H130" s="25"/>
    </row>
    <row r="131" ht="15.75" customHeight="1">
      <c r="H131" s="25"/>
    </row>
    <row r="132" ht="15.75" customHeight="1">
      <c r="H132" s="25"/>
    </row>
    <row r="133" ht="15.75" customHeight="1">
      <c r="H133" s="25"/>
    </row>
    <row r="134" ht="15.75" customHeight="1">
      <c r="H134" s="25"/>
    </row>
    <row r="135" ht="15.75" customHeight="1">
      <c r="H135" s="25"/>
    </row>
    <row r="136" ht="15.75" customHeight="1">
      <c r="H136" s="25"/>
    </row>
    <row r="137" ht="15.75" customHeight="1">
      <c r="H137" s="25"/>
    </row>
    <row r="138" ht="15.75" customHeight="1">
      <c r="H138" s="25"/>
    </row>
    <row r="139" ht="15.75" customHeight="1">
      <c r="H139" s="25"/>
    </row>
    <row r="140" ht="15.75" customHeight="1">
      <c r="H140" s="25"/>
    </row>
    <row r="141" ht="15.75" customHeight="1">
      <c r="H141" s="25"/>
    </row>
    <row r="142" ht="15.75" customHeight="1">
      <c r="H142" s="25"/>
    </row>
    <row r="143" ht="15.75" customHeight="1">
      <c r="H143" s="25"/>
    </row>
    <row r="144" ht="15.75" customHeight="1">
      <c r="H144" s="25"/>
    </row>
    <row r="145" ht="15.75" customHeight="1">
      <c r="H145" s="25"/>
    </row>
    <row r="146" ht="15.75" customHeight="1">
      <c r="H146" s="25"/>
    </row>
    <row r="147" ht="15.75" customHeight="1">
      <c r="H147" s="25"/>
    </row>
    <row r="148" ht="15.75" customHeight="1">
      <c r="H148" s="25"/>
    </row>
    <row r="149" ht="15.75" customHeight="1">
      <c r="H149" s="25"/>
    </row>
    <row r="150" ht="15.75" customHeight="1">
      <c r="H150" s="25"/>
    </row>
    <row r="151" ht="15.75" customHeight="1">
      <c r="H151" s="25"/>
    </row>
    <row r="152" ht="15.75" customHeight="1">
      <c r="H152" s="25"/>
    </row>
    <row r="153" ht="15.75" customHeight="1">
      <c r="H153" s="25"/>
    </row>
    <row r="154" ht="15.75" customHeight="1">
      <c r="H154" s="25"/>
    </row>
    <row r="155" ht="15.75" customHeight="1">
      <c r="H155" s="25"/>
    </row>
    <row r="156" ht="15.75" customHeight="1">
      <c r="H156" s="25"/>
    </row>
    <row r="157" ht="15.75" customHeight="1">
      <c r="H157" s="25"/>
    </row>
    <row r="158" ht="15.75" customHeight="1">
      <c r="H158" s="25"/>
    </row>
    <row r="159" ht="15.75" customHeight="1">
      <c r="H159" s="25"/>
    </row>
    <row r="160" ht="15.75" customHeight="1">
      <c r="H160" s="25"/>
    </row>
    <row r="161" ht="15.75" customHeight="1">
      <c r="H161" s="25"/>
    </row>
    <row r="162" ht="15.75" customHeight="1">
      <c r="H162" s="25"/>
    </row>
    <row r="163" ht="15.75" customHeight="1">
      <c r="H163" s="25"/>
    </row>
    <row r="164" ht="15.75" customHeight="1">
      <c r="H164" s="25"/>
    </row>
    <row r="165" ht="15.75" customHeight="1">
      <c r="H165" s="25"/>
    </row>
    <row r="166" ht="15.75" customHeight="1">
      <c r="H166" s="25"/>
    </row>
    <row r="167" ht="15.75" customHeight="1">
      <c r="H167" s="25"/>
    </row>
    <row r="168" ht="15.75" customHeight="1">
      <c r="H168" s="25"/>
    </row>
    <row r="169" ht="15.75" customHeight="1">
      <c r="H169" s="25"/>
    </row>
    <row r="170" ht="15.75" customHeight="1">
      <c r="H170" s="25"/>
    </row>
    <row r="171" ht="15.75" customHeight="1">
      <c r="H171" s="25"/>
    </row>
    <row r="172" ht="15.75" customHeight="1">
      <c r="H172" s="25"/>
    </row>
    <row r="173" ht="15.75" customHeight="1">
      <c r="H173" s="25"/>
    </row>
    <row r="174" ht="15.75" customHeight="1">
      <c r="H174" s="25"/>
    </row>
    <row r="175" ht="15.75" customHeight="1">
      <c r="H175" s="25"/>
    </row>
    <row r="176" ht="15.75" customHeight="1">
      <c r="H176" s="25"/>
    </row>
    <row r="177" ht="15.75" customHeight="1">
      <c r="H177" s="25"/>
    </row>
    <row r="178" ht="15.75" customHeight="1">
      <c r="H178" s="25"/>
    </row>
    <row r="179" ht="15.75" customHeight="1">
      <c r="H179" s="25"/>
    </row>
    <row r="180" ht="15.75" customHeight="1">
      <c r="H180" s="25"/>
    </row>
    <row r="181" ht="15.75" customHeight="1">
      <c r="H181" s="25"/>
    </row>
    <row r="182" ht="15.75" customHeight="1">
      <c r="H182" s="25"/>
    </row>
    <row r="183" ht="15.75" customHeight="1">
      <c r="H183" s="25"/>
    </row>
    <row r="184" ht="15.75" customHeight="1">
      <c r="H184" s="25"/>
    </row>
    <row r="185" ht="15.75" customHeight="1">
      <c r="H185" s="25"/>
    </row>
    <row r="186" ht="15.75" customHeight="1">
      <c r="H186" s="25"/>
    </row>
    <row r="187" ht="15.75" customHeight="1">
      <c r="H187" s="25"/>
    </row>
    <row r="188" ht="15.75" customHeight="1">
      <c r="H188" s="25"/>
    </row>
    <row r="189" ht="15.75" customHeight="1">
      <c r="H189" s="25"/>
    </row>
    <row r="190" ht="15.75" customHeight="1">
      <c r="H190" s="25"/>
    </row>
    <row r="191" ht="15.75" customHeight="1">
      <c r="H191" s="25"/>
    </row>
    <row r="192" ht="15.75" customHeight="1">
      <c r="H192" s="25"/>
    </row>
    <row r="193" ht="15.75" customHeight="1">
      <c r="H193" s="25"/>
    </row>
    <row r="194" ht="15.75" customHeight="1">
      <c r="H194" s="25"/>
    </row>
    <row r="195" ht="15.75" customHeight="1">
      <c r="H195" s="25"/>
    </row>
    <row r="196" ht="15.75" customHeight="1">
      <c r="H196" s="25"/>
    </row>
    <row r="197" ht="15.75" customHeight="1">
      <c r="H197" s="25"/>
    </row>
    <row r="198" ht="15.75" customHeight="1">
      <c r="H198" s="25"/>
    </row>
    <row r="199" ht="15.75" customHeight="1">
      <c r="H199" s="25"/>
    </row>
    <row r="200" ht="15.75" customHeight="1">
      <c r="H200" s="25"/>
    </row>
    <row r="201" ht="15.75" customHeight="1">
      <c r="H201" s="25"/>
    </row>
    <row r="202" ht="15.75" customHeight="1">
      <c r="H202" s="25"/>
    </row>
    <row r="203" ht="15.75" customHeight="1">
      <c r="H203" s="25"/>
    </row>
    <row r="204" ht="15.75" customHeight="1">
      <c r="H204" s="25"/>
    </row>
    <row r="205" ht="15.75" customHeight="1">
      <c r="H205" s="25"/>
    </row>
    <row r="206" ht="15.75" customHeight="1">
      <c r="H206" s="25"/>
    </row>
    <row r="207" ht="15.75" customHeight="1">
      <c r="H207" s="25"/>
    </row>
    <row r="208" ht="15.75" customHeight="1">
      <c r="H208" s="25"/>
    </row>
    <row r="209" ht="15.75" customHeight="1">
      <c r="H209" s="25"/>
    </row>
    <row r="210" ht="15.75" customHeight="1">
      <c r="H210" s="25"/>
    </row>
    <row r="211" ht="15.75" customHeight="1">
      <c r="H211" s="25"/>
    </row>
    <row r="212" ht="15.75" customHeight="1">
      <c r="H212" s="25"/>
    </row>
    <row r="213" ht="15.75" customHeight="1">
      <c r="H213" s="25"/>
    </row>
    <row r="214" ht="15.75" customHeight="1">
      <c r="H214" s="25"/>
    </row>
    <row r="215" ht="15.75" customHeight="1">
      <c r="H215" s="25"/>
    </row>
    <row r="216" ht="15.75" customHeight="1">
      <c r="H216" s="25"/>
    </row>
    <row r="217" ht="15.75" customHeight="1">
      <c r="H217" s="25"/>
    </row>
    <row r="218" ht="15.75" customHeight="1">
      <c r="H218" s="25"/>
    </row>
    <row r="219" ht="15.75" customHeight="1">
      <c r="H219" s="25"/>
    </row>
    <row r="220" ht="15.75" customHeight="1">
      <c r="H220" s="25"/>
    </row>
    <row r="221" ht="15.75" customHeight="1">
      <c r="H221" s="25"/>
    </row>
    <row r="222" ht="15.75" customHeight="1">
      <c r="H222" s="25"/>
    </row>
    <row r="223" ht="15.75" customHeight="1">
      <c r="H223" s="25"/>
    </row>
    <row r="224" ht="15.75" customHeight="1">
      <c r="H224" s="25"/>
    </row>
    <row r="225" ht="15.75" customHeight="1">
      <c r="H225" s="25"/>
    </row>
    <row r="226" ht="15.75" customHeight="1">
      <c r="H226" s="25"/>
    </row>
    <row r="227" ht="15.75" customHeight="1">
      <c r="H227" s="25"/>
    </row>
    <row r="228" ht="15.75" customHeight="1">
      <c r="H228" s="25"/>
    </row>
    <row r="229" ht="15.75" customHeight="1">
      <c r="H229" s="25"/>
    </row>
    <row r="230" ht="15.75" customHeight="1">
      <c r="H230" s="25"/>
    </row>
    <row r="231" ht="15.75" customHeight="1">
      <c r="H231" s="25"/>
    </row>
    <row r="232" ht="15.75" customHeight="1">
      <c r="H232" s="25"/>
    </row>
    <row r="233" ht="15.75" customHeight="1">
      <c r="H233" s="25"/>
    </row>
    <row r="234" ht="15.75" customHeight="1">
      <c r="H234" s="25"/>
    </row>
    <row r="235" ht="15.75" customHeight="1">
      <c r="H235" s="25"/>
    </row>
    <row r="236" ht="15.75" customHeight="1">
      <c r="H236" s="25"/>
    </row>
    <row r="237" ht="15.75" customHeight="1">
      <c r="H237" s="25"/>
    </row>
    <row r="238" ht="15.75" customHeight="1">
      <c r="H238" s="25"/>
    </row>
    <row r="239" ht="15.75" customHeight="1">
      <c r="H239" s="25"/>
    </row>
    <row r="240" ht="15.75" customHeight="1">
      <c r="H240" s="25"/>
    </row>
    <row r="241" ht="15.75" customHeight="1">
      <c r="H241" s="25"/>
    </row>
    <row r="242" ht="15.75" customHeight="1">
      <c r="H242" s="25"/>
    </row>
    <row r="243" ht="15.75" customHeight="1">
      <c r="H243" s="25"/>
    </row>
    <row r="244" ht="15.75" customHeight="1">
      <c r="H244" s="25"/>
    </row>
    <row r="245" ht="15.75" customHeight="1">
      <c r="H245" s="25"/>
    </row>
    <row r="246" ht="15.75" customHeight="1">
      <c r="H246" s="25"/>
    </row>
    <row r="247" ht="15.75" customHeight="1">
      <c r="H247" s="25"/>
    </row>
    <row r="248" ht="15.75" customHeight="1">
      <c r="H248" s="25"/>
    </row>
    <row r="249" ht="15.75" customHeight="1">
      <c r="H249" s="25"/>
    </row>
    <row r="250" ht="15.75" customHeight="1">
      <c r="H250" s="25"/>
    </row>
    <row r="251" ht="15.75" customHeight="1">
      <c r="H251" s="25"/>
    </row>
    <row r="252" ht="15.75" customHeight="1">
      <c r="H252" s="25"/>
    </row>
    <row r="253" ht="15.75" customHeight="1">
      <c r="H253" s="25"/>
    </row>
    <row r="254" ht="15.75" customHeight="1">
      <c r="H254" s="25"/>
    </row>
    <row r="255" ht="15.75" customHeight="1">
      <c r="H255" s="25"/>
    </row>
    <row r="256" ht="15.75" customHeight="1">
      <c r="H256" s="25"/>
    </row>
    <row r="257" ht="15.75" customHeight="1">
      <c r="H257" s="25"/>
    </row>
    <row r="258" ht="15.75" customHeight="1">
      <c r="H258" s="25"/>
    </row>
    <row r="259" ht="15.75" customHeight="1">
      <c r="H259" s="25"/>
    </row>
    <row r="260" ht="15.75" customHeight="1">
      <c r="H260" s="25"/>
    </row>
    <row r="261" ht="15.75" customHeight="1">
      <c r="H261" s="25"/>
    </row>
    <row r="262" ht="15.75" customHeight="1">
      <c r="H262" s="25"/>
    </row>
    <row r="263" ht="15.75" customHeight="1">
      <c r="H263" s="25"/>
    </row>
    <row r="264" ht="15.75" customHeight="1">
      <c r="H264" s="25"/>
    </row>
    <row r="265" ht="15.75" customHeight="1">
      <c r="H265" s="25"/>
    </row>
    <row r="266" ht="15.75" customHeight="1">
      <c r="H266" s="25"/>
    </row>
    <row r="267" ht="15.75" customHeight="1">
      <c r="H267" s="25"/>
    </row>
    <row r="268" ht="15.75" customHeight="1">
      <c r="H268" s="25"/>
    </row>
    <row r="269" ht="15.75" customHeight="1">
      <c r="H269" s="25"/>
    </row>
    <row r="270" ht="15.75" customHeight="1">
      <c r="H270" s="25"/>
    </row>
    <row r="271" ht="15.75" customHeight="1">
      <c r="H271" s="25"/>
    </row>
    <row r="272" ht="15.75" customHeight="1">
      <c r="H272" s="25"/>
    </row>
    <row r="273" ht="15.75" customHeight="1">
      <c r="H273" s="25"/>
    </row>
    <row r="274" ht="15.75" customHeight="1">
      <c r="H274" s="25"/>
    </row>
    <row r="275" ht="15.75" customHeight="1">
      <c r="H275" s="25"/>
    </row>
    <row r="276" ht="15.75" customHeight="1">
      <c r="H276" s="25"/>
    </row>
    <row r="277" ht="15.75" customHeight="1">
      <c r="H277" s="25"/>
    </row>
    <row r="278" ht="15.75" customHeight="1">
      <c r="H278" s="25"/>
    </row>
    <row r="279" ht="15.75" customHeight="1">
      <c r="H279" s="25"/>
    </row>
    <row r="280" ht="15.75" customHeight="1">
      <c r="H280" s="25"/>
    </row>
    <row r="281" ht="15.75" customHeight="1">
      <c r="H281" s="25"/>
    </row>
    <row r="282" ht="15.75" customHeight="1">
      <c r="H282" s="25"/>
    </row>
    <row r="283" ht="15.75" customHeight="1">
      <c r="H283" s="25"/>
    </row>
    <row r="284" ht="15.75" customHeight="1">
      <c r="H284" s="25"/>
    </row>
    <row r="285" ht="15.75" customHeight="1">
      <c r="H285" s="25"/>
    </row>
    <row r="286" ht="15.75" customHeight="1">
      <c r="H286" s="25"/>
    </row>
    <row r="287" ht="15.75" customHeight="1">
      <c r="H287" s="25"/>
    </row>
    <row r="288" ht="15.75" customHeight="1">
      <c r="H288" s="25"/>
    </row>
    <row r="289" ht="15.75" customHeight="1">
      <c r="H289" s="25"/>
    </row>
    <row r="290" ht="15.75" customHeight="1">
      <c r="H290" s="25"/>
    </row>
    <row r="291" ht="15.75" customHeight="1">
      <c r="H291" s="25"/>
    </row>
    <row r="292" ht="15.75" customHeight="1">
      <c r="H292" s="25"/>
    </row>
    <row r="293" ht="15.75" customHeight="1">
      <c r="H293" s="25"/>
    </row>
    <row r="294" ht="15.75" customHeight="1">
      <c r="H294" s="25"/>
    </row>
    <row r="295" ht="15.75" customHeight="1">
      <c r="H295" s="25"/>
    </row>
    <row r="296" ht="15.75" customHeight="1">
      <c r="H296" s="25"/>
    </row>
    <row r="297" ht="15.75" customHeight="1">
      <c r="H297" s="25"/>
    </row>
    <row r="298" ht="15.75" customHeight="1">
      <c r="H298" s="25"/>
    </row>
    <row r="299" ht="15.75" customHeight="1">
      <c r="H299" s="25"/>
    </row>
    <row r="300" ht="15.75" customHeight="1">
      <c r="H300" s="25"/>
    </row>
    <row r="301" ht="15.75" customHeight="1">
      <c r="H301" s="25"/>
    </row>
    <row r="302" ht="15.75" customHeight="1">
      <c r="H302" s="25"/>
    </row>
    <row r="303" ht="15.75" customHeight="1">
      <c r="H303" s="25"/>
    </row>
    <row r="304" ht="15.75" customHeight="1">
      <c r="H304" s="25"/>
    </row>
    <row r="305" ht="15.75" customHeight="1">
      <c r="H305" s="25"/>
    </row>
    <row r="306" ht="15.75" customHeight="1">
      <c r="H306" s="25"/>
    </row>
    <row r="307" ht="15.75" customHeight="1">
      <c r="H307" s="25"/>
    </row>
    <row r="308" ht="15.75" customHeight="1">
      <c r="H308" s="25"/>
    </row>
    <row r="309" ht="15.75" customHeight="1">
      <c r="H309" s="25"/>
    </row>
    <row r="310" ht="15.75" customHeight="1">
      <c r="H310" s="25"/>
    </row>
    <row r="311" ht="15.75" customHeight="1">
      <c r="H311" s="25"/>
    </row>
    <row r="312" ht="15.75" customHeight="1">
      <c r="H312" s="25"/>
    </row>
    <row r="313" ht="15.75" customHeight="1">
      <c r="H313" s="25"/>
    </row>
    <row r="314" ht="15.75" customHeight="1">
      <c r="H314" s="25"/>
    </row>
    <row r="315" ht="15.75" customHeight="1">
      <c r="H315" s="25"/>
    </row>
    <row r="316" ht="15.75" customHeight="1">
      <c r="H316" s="25"/>
    </row>
    <row r="317" ht="15.75" customHeight="1">
      <c r="H317" s="25"/>
    </row>
    <row r="318" ht="15.75" customHeight="1">
      <c r="H318" s="25"/>
    </row>
    <row r="319" ht="15.75" customHeight="1">
      <c r="H319" s="25"/>
    </row>
    <row r="320" ht="15.75" customHeight="1">
      <c r="H320" s="25"/>
    </row>
    <row r="321" ht="15.75" customHeight="1">
      <c r="H321" s="25"/>
    </row>
    <row r="322" ht="15.75" customHeight="1">
      <c r="H322" s="25"/>
    </row>
    <row r="323" ht="15.75" customHeight="1">
      <c r="H323" s="25"/>
    </row>
    <row r="324" ht="15.75" customHeight="1">
      <c r="H324" s="25"/>
    </row>
    <row r="325" ht="15.75" customHeight="1">
      <c r="H325" s="25"/>
    </row>
    <row r="326" ht="15.75" customHeight="1">
      <c r="H326" s="25"/>
    </row>
    <row r="327" ht="15.75" customHeight="1">
      <c r="H327" s="25"/>
    </row>
    <row r="328" ht="15.75" customHeight="1">
      <c r="H328" s="25"/>
    </row>
    <row r="329" ht="15.75" customHeight="1">
      <c r="H329" s="25"/>
    </row>
    <row r="330" ht="15.75" customHeight="1">
      <c r="H330" s="25"/>
    </row>
    <row r="331" ht="15.75" customHeight="1">
      <c r="H331" s="25"/>
    </row>
    <row r="332" ht="15.75" customHeight="1">
      <c r="H332" s="25"/>
    </row>
    <row r="333" ht="15.75" customHeight="1">
      <c r="H333" s="25"/>
    </row>
    <row r="334" ht="15.75" customHeight="1">
      <c r="H334" s="25"/>
    </row>
    <row r="335" ht="15.75" customHeight="1">
      <c r="H335" s="25"/>
    </row>
    <row r="336" ht="15.75" customHeight="1">
      <c r="H336" s="25"/>
    </row>
    <row r="337" ht="15.75" customHeight="1">
      <c r="H337" s="25"/>
    </row>
    <row r="338" ht="15.75" customHeight="1">
      <c r="H338" s="25"/>
    </row>
    <row r="339" ht="15.75" customHeight="1">
      <c r="H339" s="25"/>
    </row>
    <row r="340" ht="15.75" customHeight="1">
      <c r="H340" s="25"/>
    </row>
    <row r="341" ht="15.75" customHeight="1">
      <c r="H341" s="25"/>
    </row>
    <row r="342" ht="15.75" customHeight="1">
      <c r="H342" s="25"/>
    </row>
    <row r="343" ht="15.75" customHeight="1">
      <c r="H343" s="25"/>
    </row>
    <row r="344" ht="15.75" customHeight="1">
      <c r="H344" s="25"/>
    </row>
    <row r="345" ht="15.75" customHeight="1">
      <c r="H345" s="25"/>
    </row>
    <row r="346" ht="15.75" customHeight="1">
      <c r="H346" s="25"/>
    </row>
    <row r="347" ht="15.75" customHeight="1">
      <c r="H347" s="25"/>
    </row>
    <row r="348" ht="15.75" customHeight="1">
      <c r="H348" s="25"/>
    </row>
    <row r="349" ht="15.75" customHeight="1">
      <c r="H349" s="25"/>
    </row>
    <row r="350" ht="15.75" customHeight="1">
      <c r="H350" s="25"/>
    </row>
    <row r="351" ht="15.75" customHeight="1">
      <c r="H351" s="25"/>
    </row>
    <row r="352" ht="15.75" customHeight="1">
      <c r="H352" s="25"/>
    </row>
    <row r="353" ht="15.75" customHeight="1">
      <c r="H353" s="25"/>
    </row>
    <row r="354" ht="15.75" customHeight="1">
      <c r="H354" s="25"/>
    </row>
    <row r="355" ht="15.75" customHeight="1">
      <c r="H355" s="25"/>
    </row>
    <row r="356" ht="15.75" customHeight="1">
      <c r="H356" s="25"/>
    </row>
    <row r="357" ht="15.75" customHeight="1">
      <c r="H357" s="25"/>
    </row>
    <row r="358" ht="15.75" customHeight="1">
      <c r="H358" s="25"/>
    </row>
    <row r="359" ht="15.75" customHeight="1">
      <c r="H359" s="25"/>
    </row>
    <row r="360" ht="15.75" customHeight="1">
      <c r="H360" s="25"/>
    </row>
    <row r="361" ht="15.75" customHeight="1">
      <c r="H361" s="25"/>
    </row>
    <row r="362" ht="15.75" customHeight="1">
      <c r="H362" s="25"/>
    </row>
    <row r="363" ht="15.75" customHeight="1">
      <c r="H363" s="25"/>
    </row>
    <row r="364" ht="15.75" customHeight="1">
      <c r="H364" s="25"/>
    </row>
    <row r="365" ht="15.75" customHeight="1">
      <c r="H365" s="25"/>
    </row>
    <row r="366" ht="15.75" customHeight="1">
      <c r="H366" s="25"/>
    </row>
    <row r="367" ht="15.75" customHeight="1">
      <c r="H367" s="25"/>
    </row>
    <row r="368" ht="15.75" customHeight="1">
      <c r="H368" s="25"/>
    </row>
    <row r="369" ht="15.75" customHeight="1">
      <c r="H369" s="25"/>
    </row>
    <row r="370" ht="15.75" customHeight="1">
      <c r="H370" s="25"/>
    </row>
    <row r="371" ht="15.75" customHeight="1">
      <c r="H371" s="25"/>
    </row>
    <row r="372" ht="15.75" customHeight="1">
      <c r="H372" s="25"/>
    </row>
    <row r="373" ht="15.75" customHeight="1">
      <c r="H373" s="25"/>
    </row>
    <row r="374" ht="15.75" customHeight="1">
      <c r="H374" s="25"/>
    </row>
    <row r="375" ht="15.75" customHeight="1">
      <c r="H375" s="25"/>
    </row>
    <row r="376" ht="15.75" customHeight="1">
      <c r="H376" s="25"/>
    </row>
    <row r="377" ht="15.75" customHeight="1">
      <c r="H377" s="25"/>
    </row>
    <row r="378" ht="15.75" customHeight="1">
      <c r="H378" s="25"/>
    </row>
    <row r="379" ht="15.75" customHeight="1">
      <c r="H379" s="25"/>
    </row>
    <row r="380" ht="15.75" customHeight="1">
      <c r="H380" s="25"/>
    </row>
    <row r="381" ht="15.75" customHeight="1">
      <c r="H381" s="25"/>
    </row>
    <row r="382" ht="15.75" customHeight="1">
      <c r="H382" s="25"/>
    </row>
    <row r="383" ht="15.75" customHeight="1">
      <c r="H383" s="25"/>
    </row>
    <row r="384" ht="15.75" customHeight="1">
      <c r="H384" s="25"/>
    </row>
    <row r="385" ht="15.75" customHeight="1">
      <c r="H385" s="25"/>
    </row>
    <row r="386" ht="15.75" customHeight="1">
      <c r="H386" s="25"/>
    </row>
    <row r="387" ht="15.75" customHeight="1">
      <c r="H387" s="25"/>
    </row>
    <row r="388" ht="15.75" customHeight="1">
      <c r="H388" s="25"/>
    </row>
    <row r="389" ht="15.75" customHeight="1">
      <c r="H389" s="25"/>
    </row>
    <row r="390" ht="15.75" customHeight="1">
      <c r="H390" s="25"/>
    </row>
    <row r="391" ht="15.75" customHeight="1">
      <c r="H391" s="25"/>
    </row>
    <row r="392" ht="15.75" customHeight="1">
      <c r="H392" s="25"/>
    </row>
    <row r="393" ht="15.75" customHeight="1">
      <c r="H393" s="25"/>
    </row>
    <row r="394" ht="15.75" customHeight="1">
      <c r="H394" s="25"/>
    </row>
    <row r="395" ht="15.75" customHeight="1">
      <c r="H395" s="25"/>
    </row>
    <row r="396" ht="15.75" customHeight="1">
      <c r="H396" s="25"/>
    </row>
    <row r="397" ht="15.75" customHeight="1">
      <c r="H397" s="25"/>
    </row>
    <row r="398" ht="15.75" customHeight="1">
      <c r="H398" s="25"/>
    </row>
    <row r="399" ht="15.75" customHeight="1">
      <c r="H399" s="25"/>
    </row>
    <row r="400" ht="15.75" customHeight="1">
      <c r="H400" s="25"/>
    </row>
    <row r="401" ht="15.75" customHeight="1">
      <c r="H401" s="25"/>
    </row>
    <row r="402" ht="15.75" customHeight="1">
      <c r="H402" s="25"/>
    </row>
    <row r="403" ht="15.75" customHeight="1">
      <c r="H403" s="25"/>
    </row>
    <row r="404" ht="15.75" customHeight="1">
      <c r="H404" s="25"/>
    </row>
    <row r="405" ht="15.75" customHeight="1">
      <c r="H405" s="25"/>
    </row>
    <row r="406" ht="15.75" customHeight="1">
      <c r="H406" s="25"/>
    </row>
    <row r="407" ht="15.75" customHeight="1">
      <c r="H407" s="25"/>
    </row>
    <row r="408" ht="15.75" customHeight="1">
      <c r="H408" s="25"/>
    </row>
    <row r="409" ht="15.75" customHeight="1">
      <c r="H409" s="25"/>
    </row>
    <row r="410" ht="15.75" customHeight="1">
      <c r="H410" s="25"/>
    </row>
    <row r="411" ht="15.75" customHeight="1">
      <c r="H411" s="25"/>
    </row>
    <row r="412" ht="15.75" customHeight="1">
      <c r="H412" s="25"/>
    </row>
    <row r="413" ht="15.75" customHeight="1">
      <c r="H413" s="25"/>
    </row>
    <row r="414" ht="15.75" customHeight="1">
      <c r="H414" s="25"/>
    </row>
    <row r="415" ht="15.75" customHeight="1">
      <c r="H415" s="25"/>
    </row>
    <row r="416" ht="15.75" customHeight="1">
      <c r="H416" s="25"/>
    </row>
    <row r="417" ht="15.75" customHeight="1">
      <c r="H417" s="25"/>
    </row>
    <row r="418" ht="15.75" customHeight="1">
      <c r="H418" s="25"/>
    </row>
    <row r="419" ht="15.75" customHeight="1">
      <c r="H419" s="25"/>
    </row>
    <row r="420" ht="15.75" customHeight="1">
      <c r="H420" s="25"/>
    </row>
    <row r="421" ht="15.75" customHeight="1">
      <c r="H421" s="25"/>
    </row>
    <row r="422" ht="15.75" customHeight="1">
      <c r="H422" s="25"/>
    </row>
    <row r="423" ht="15.75" customHeight="1">
      <c r="H423" s="25"/>
    </row>
    <row r="424" ht="15.75" customHeight="1">
      <c r="H424" s="25"/>
    </row>
    <row r="425" ht="15.75" customHeight="1">
      <c r="H425" s="25"/>
    </row>
    <row r="426" ht="15.75" customHeight="1">
      <c r="H426" s="25"/>
    </row>
    <row r="427" ht="15.75" customHeight="1">
      <c r="H427" s="25"/>
    </row>
    <row r="428" ht="15.75" customHeight="1">
      <c r="H428" s="25"/>
    </row>
    <row r="429" ht="15.75" customHeight="1">
      <c r="H429" s="25"/>
    </row>
    <row r="430" ht="15.75" customHeight="1">
      <c r="H430" s="25"/>
    </row>
    <row r="431" ht="15.75" customHeight="1">
      <c r="H431" s="25"/>
    </row>
    <row r="432" ht="15.75" customHeight="1">
      <c r="H432" s="25"/>
    </row>
    <row r="433" ht="15.75" customHeight="1">
      <c r="H433" s="25"/>
    </row>
    <row r="434" ht="15.75" customHeight="1">
      <c r="H434" s="25"/>
    </row>
    <row r="435" ht="15.75" customHeight="1">
      <c r="H435" s="25"/>
    </row>
    <row r="436" ht="15.75" customHeight="1">
      <c r="H436" s="25"/>
    </row>
    <row r="437" ht="15.75" customHeight="1">
      <c r="H437" s="25"/>
    </row>
    <row r="438" ht="15.75" customHeight="1">
      <c r="H438" s="25"/>
    </row>
    <row r="439" ht="15.75" customHeight="1">
      <c r="H439" s="25"/>
    </row>
    <row r="440" ht="15.75" customHeight="1">
      <c r="H440" s="25"/>
    </row>
    <row r="441" ht="15.75" customHeight="1">
      <c r="H441" s="25"/>
    </row>
    <row r="442" ht="15.75" customHeight="1">
      <c r="H442" s="25"/>
    </row>
    <row r="443" ht="15.75" customHeight="1">
      <c r="H443" s="25"/>
    </row>
    <row r="444" ht="15.75" customHeight="1">
      <c r="H444" s="25"/>
    </row>
    <row r="445" ht="15.75" customHeight="1">
      <c r="H445" s="25"/>
    </row>
    <row r="446" ht="15.75" customHeight="1">
      <c r="H446" s="25"/>
    </row>
    <row r="447" ht="15.75" customHeight="1">
      <c r="H447" s="25"/>
    </row>
    <row r="448" ht="15.75" customHeight="1">
      <c r="H448" s="25"/>
    </row>
    <row r="449" ht="15.75" customHeight="1">
      <c r="H449" s="25"/>
    </row>
    <row r="450" ht="15.75" customHeight="1">
      <c r="H450" s="25"/>
    </row>
    <row r="451" ht="15.75" customHeight="1">
      <c r="H451" s="25"/>
    </row>
    <row r="452" ht="15.75" customHeight="1">
      <c r="H452" s="25"/>
    </row>
    <row r="453" ht="15.75" customHeight="1">
      <c r="H453" s="25"/>
    </row>
    <row r="454" ht="15.75" customHeight="1">
      <c r="H454" s="25"/>
    </row>
    <row r="455" ht="15.75" customHeight="1">
      <c r="H455" s="25"/>
    </row>
    <row r="456" ht="15.75" customHeight="1">
      <c r="H456" s="25"/>
    </row>
    <row r="457" ht="15.75" customHeight="1">
      <c r="H457" s="25"/>
    </row>
    <row r="458" ht="15.75" customHeight="1">
      <c r="H458" s="25"/>
    </row>
    <row r="459" ht="15.75" customHeight="1">
      <c r="H459" s="25"/>
    </row>
    <row r="460" ht="15.75" customHeight="1">
      <c r="H460" s="25"/>
    </row>
    <row r="461" ht="15.75" customHeight="1">
      <c r="H461" s="25"/>
    </row>
    <row r="462" ht="15.75" customHeight="1">
      <c r="H462" s="25"/>
    </row>
    <row r="463" ht="15.75" customHeight="1">
      <c r="H463" s="25"/>
    </row>
    <row r="464" ht="15.75" customHeight="1">
      <c r="H464" s="25"/>
    </row>
    <row r="465" ht="15.75" customHeight="1">
      <c r="H465" s="25"/>
    </row>
    <row r="466" ht="15.75" customHeight="1">
      <c r="H466" s="25"/>
    </row>
    <row r="467" ht="15.75" customHeight="1">
      <c r="H467" s="25"/>
    </row>
    <row r="468" ht="15.75" customHeight="1">
      <c r="H468" s="25"/>
    </row>
    <row r="469" ht="15.75" customHeight="1">
      <c r="H469" s="25"/>
    </row>
    <row r="470" ht="15.75" customHeight="1">
      <c r="H470" s="25"/>
    </row>
    <row r="471" ht="15.75" customHeight="1">
      <c r="H471" s="25"/>
    </row>
    <row r="472" ht="15.75" customHeight="1">
      <c r="H472" s="25"/>
    </row>
    <row r="473" ht="15.75" customHeight="1">
      <c r="H473" s="25"/>
    </row>
    <row r="474" ht="15.75" customHeight="1">
      <c r="H474" s="25"/>
    </row>
    <row r="475" ht="15.75" customHeight="1">
      <c r="H475" s="25"/>
    </row>
    <row r="476" ht="15.75" customHeight="1">
      <c r="H476" s="25"/>
    </row>
    <row r="477" ht="15.75" customHeight="1">
      <c r="H477" s="25"/>
    </row>
    <row r="478" ht="15.75" customHeight="1">
      <c r="H478" s="25"/>
    </row>
    <row r="479" ht="15.75" customHeight="1">
      <c r="H479" s="25"/>
    </row>
    <row r="480" ht="15.75" customHeight="1">
      <c r="H480" s="25"/>
    </row>
    <row r="481" ht="15.75" customHeight="1">
      <c r="H481" s="25"/>
    </row>
    <row r="482" ht="15.75" customHeight="1">
      <c r="H482" s="25"/>
    </row>
    <row r="483" ht="15.75" customHeight="1">
      <c r="H483" s="25"/>
    </row>
    <row r="484" ht="15.75" customHeight="1">
      <c r="H484" s="25"/>
    </row>
    <row r="485" ht="15.75" customHeight="1">
      <c r="H485" s="25"/>
    </row>
    <row r="486" ht="15.75" customHeight="1">
      <c r="H486" s="25"/>
    </row>
    <row r="487" ht="15.75" customHeight="1">
      <c r="H487" s="25"/>
    </row>
    <row r="488" ht="15.75" customHeight="1">
      <c r="H488" s="25"/>
    </row>
    <row r="489" ht="15.75" customHeight="1">
      <c r="H489" s="25"/>
    </row>
    <row r="490" ht="15.75" customHeight="1">
      <c r="H490" s="25"/>
    </row>
    <row r="491" ht="15.75" customHeight="1">
      <c r="H491" s="25"/>
    </row>
    <row r="492" ht="15.75" customHeight="1">
      <c r="H492" s="25"/>
    </row>
    <row r="493" ht="15.75" customHeight="1">
      <c r="H493" s="25"/>
    </row>
    <row r="494" ht="15.75" customHeight="1">
      <c r="H494" s="25"/>
    </row>
    <row r="495" ht="15.75" customHeight="1">
      <c r="H495" s="25"/>
    </row>
    <row r="496" ht="15.75" customHeight="1">
      <c r="H496" s="25"/>
    </row>
    <row r="497" ht="15.75" customHeight="1">
      <c r="H497" s="25"/>
    </row>
    <row r="498" ht="15.75" customHeight="1">
      <c r="H498" s="25"/>
    </row>
    <row r="499" ht="15.75" customHeight="1">
      <c r="H499" s="25"/>
    </row>
    <row r="500" ht="15.75" customHeight="1">
      <c r="H500" s="25"/>
    </row>
    <row r="501" ht="15.75" customHeight="1">
      <c r="H501" s="25"/>
    </row>
    <row r="502" ht="15.75" customHeight="1">
      <c r="H502" s="25"/>
    </row>
    <row r="503" ht="15.75" customHeight="1">
      <c r="H503" s="25"/>
    </row>
    <row r="504" ht="15.75" customHeight="1">
      <c r="H504" s="25"/>
    </row>
    <row r="505" ht="15.75" customHeight="1">
      <c r="H505" s="25"/>
    </row>
    <row r="506" ht="15.75" customHeight="1">
      <c r="H506" s="25"/>
    </row>
    <row r="507" ht="15.75" customHeight="1">
      <c r="H507" s="25"/>
    </row>
    <row r="508" ht="15.75" customHeight="1">
      <c r="H508" s="25"/>
    </row>
    <row r="509" ht="15.75" customHeight="1">
      <c r="H509" s="25"/>
    </row>
    <row r="510" ht="15.75" customHeight="1">
      <c r="H510" s="25"/>
    </row>
    <row r="511" ht="15.75" customHeight="1">
      <c r="H511" s="25"/>
    </row>
    <row r="512" ht="15.75" customHeight="1">
      <c r="H512" s="25"/>
    </row>
    <row r="513" ht="15.75" customHeight="1">
      <c r="H513" s="25"/>
    </row>
    <row r="514" ht="15.75" customHeight="1">
      <c r="H514" s="25"/>
    </row>
    <row r="515" ht="15.75" customHeight="1">
      <c r="H515" s="25"/>
    </row>
    <row r="516" ht="15.75" customHeight="1">
      <c r="H516" s="25"/>
    </row>
    <row r="517" ht="15.75" customHeight="1">
      <c r="H517" s="25"/>
    </row>
    <row r="518" ht="15.75" customHeight="1">
      <c r="H518" s="25"/>
    </row>
    <row r="519" ht="15.75" customHeight="1">
      <c r="H519" s="25"/>
    </row>
    <row r="520" ht="15.75" customHeight="1">
      <c r="H520" s="25"/>
    </row>
    <row r="521" ht="15.75" customHeight="1">
      <c r="H521" s="25"/>
    </row>
    <row r="522" ht="15.75" customHeight="1">
      <c r="H522" s="25"/>
    </row>
    <row r="523" ht="15.75" customHeight="1">
      <c r="H523" s="25"/>
    </row>
    <row r="524" ht="15.75" customHeight="1">
      <c r="H524" s="25"/>
    </row>
    <row r="525" ht="15.75" customHeight="1">
      <c r="H525" s="25"/>
    </row>
    <row r="526" ht="15.75" customHeight="1">
      <c r="H526" s="25"/>
    </row>
    <row r="527" ht="15.75" customHeight="1">
      <c r="H527" s="25"/>
    </row>
    <row r="528" ht="15.75" customHeight="1">
      <c r="H528" s="25"/>
    </row>
    <row r="529" ht="15.75" customHeight="1">
      <c r="H529" s="25"/>
    </row>
    <row r="530" ht="15.75" customHeight="1">
      <c r="H530" s="25"/>
    </row>
    <row r="531" ht="15.75" customHeight="1">
      <c r="H531" s="25"/>
    </row>
    <row r="532" ht="15.75" customHeight="1">
      <c r="H532" s="25"/>
    </row>
    <row r="533" ht="15.75" customHeight="1">
      <c r="H533" s="25"/>
    </row>
    <row r="534" ht="15.75" customHeight="1">
      <c r="H534" s="25"/>
    </row>
    <row r="535" ht="15.75" customHeight="1">
      <c r="H535" s="25"/>
    </row>
    <row r="536" ht="15.75" customHeight="1">
      <c r="H536" s="25"/>
    </row>
    <row r="537" ht="15.75" customHeight="1">
      <c r="H537" s="25"/>
    </row>
    <row r="538" ht="15.75" customHeight="1">
      <c r="H538" s="25"/>
    </row>
    <row r="539" ht="15.75" customHeight="1">
      <c r="H539" s="25"/>
    </row>
    <row r="540" ht="15.75" customHeight="1">
      <c r="H540" s="25"/>
    </row>
    <row r="541" ht="15.75" customHeight="1">
      <c r="H541" s="25"/>
    </row>
    <row r="542" ht="15.75" customHeight="1">
      <c r="H542" s="25"/>
    </row>
    <row r="543" ht="15.75" customHeight="1">
      <c r="H543" s="25"/>
    </row>
    <row r="544" ht="15.75" customHeight="1">
      <c r="H544" s="25"/>
    </row>
    <row r="545" ht="15.75" customHeight="1">
      <c r="H545" s="25"/>
    </row>
    <row r="546" ht="15.75" customHeight="1">
      <c r="H546" s="25"/>
    </row>
    <row r="547" ht="15.75" customHeight="1">
      <c r="H547" s="25"/>
    </row>
    <row r="548" ht="15.75" customHeight="1">
      <c r="H548" s="25"/>
    </row>
    <row r="549" ht="15.75" customHeight="1">
      <c r="H549" s="25"/>
    </row>
    <row r="550" ht="15.75" customHeight="1">
      <c r="H550" s="25"/>
    </row>
    <row r="551" ht="15.75" customHeight="1">
      <c r="H551" s="25"/>
    </row>
    <row r="552" ht="15.75" customHeight="1">
      <c r="H552" s="25"/>
    </row>
    <row r="553" ht="15.75" customHeight="1">
      <c r="H553" s="25"/>
    </row>
    <row r="554" ht="15.75" customHeight="1">
      <c r="H554" s="25"/>
    </row>
    <row r="555" ht="15.75" customHeight="1">
      <c r="H555" s="25"/>
    </row>
    <row r="556" ht="15.75" customHeight="1">
      <c r="H556" s="25"/>
    </row>
    <row r="557" ht="15.75" customHeight="1">
      <c r="H557" s="25"/>
    </row>
    <row r="558" ht="15.75" customHeight="1">
      <c r="H558" s="25"/>
    </row>
    <row r="559" ht="15.75" customHeight="1">
      <c r="H559" s="25"/>
    </row>
    <row r="560" ht="15.75" customHeight="1">
      <c r="H560" s="25"/>
    </row>
    <row r="561" ht="15.75" customHeight="1">
      <c r="H561" s="25"/>
    </row>
    <row r="562" ht="15.75" customHeight="1">
      <c r="H562" s="25"/>
    </row>
    <row r="563" ht="15.75" customHeight="1">
      <c r="H563" s="25"/>
    </row>
    <row r="564" ht="15.75" customHeight="1">
      <c r="H564" s="25"/>
    </row>
    <row r="565" ht="15.75" customHeight="1">
      <c r="H565" s="25"/>
    </row>
    <row r="566" ht="15.75" customHeight="1">
      <c r="H566" s="25"/>
    </row>
    <row r="567" ht="15.75" customHeight="1">
      <c r="H567" s="25"/>
    </row>
    <row r="568" ht="15.75" customHeight="1">
      <c r="H568" s="25"/>
    </row>
    <row r="569" ht="15.75" customHeight="1">
      <c r="H569" s="25"/>
    </row>
    <row r="570" ht="15.75" customHeight="1">
      <c r="H570" s="25"/>
    </row>
    <row r="571" ht="15.75" customHeight="1">
      <c r="H571" s="25"/>
    </row>
    <row r="572" ht="15.75" customHeight="1">
      <c r="H572" s="25"/>
    </row>
    <row r="573" ht="15.75" customHeight="1">
      <c r="H573" s="25"/>
    </row>
    <row r="574" ht="15.75" customHeight="1">
      <c r="H574" s="25"/>
    </row>
    <row r="575" ht="15.75" customHeight="1">
      <c r="H575" s="25"/>
    </row>
    <row r="576" ht="15.75" customHeight="1">
      <c r="H576" s="25"/>
    </row>
    <row r="577" ht="15.75" customHeight="1">
      <c r="H577" s="25"/>
    </row>
    <row r="578" ht="15.75" customHeight="1">
      <c r="H578" s="25"/>
    </row>
    <row r="579" ht="15.75" customHeight="1">
      <c r="H579" s="25"/>
    </row>
    <row r="580" ht="15.75" customHeight="1">
      <c r="H580" s="25"/>
    </row>
    <row r="581" ht="15.75" customHeight="1">
      <c r="H581" s="25"/>
    </row>
    <row r="582" ht="15.75" customHeight="1">
      <c r="H582" s="25"/>
    </row>
    <row r="583" ht="15.75" customHeight="1">
      <c r="H583" s="25"/>
    </row>
    <row r="584" ht="15.75" customHeight="1">
      <c r="H584" s="25"/>
    </row>
    <row r="585" ht="15.75" customHeight="1">
      <c r="H585" s="25"/>
    </row>
    <row r="586" ht="15.75" customHeight="1">
      <c r="H586" s="25"/>
    </row>
    <row r="587" ht="15.75" customHeight="1">
      <c r="H587" s="25"/>
    </row>
    <row r="588" ht="15.75" customHeight="1">
      <c r="H588" s="25"/>
    </row>
    <row r="589" ht="15.75" customHeight="1">
      <c r="H589" s="25"/>
    </row>
    <row r="590" ht="15.75" customHeight="1">
      <c r="H590" s="25"/>
    </row>
    <row r="591" ht="15.75" customHeight="1">
      <c r="H591" s="25"/>
    </row>
    <row r="592" ht="15.75" customHeight="1">
      <c r="H592" s="25"/>
    </row>
    <row r="593" ht="15.75" customHeight="1">
      <c r="H593" s="25"/>
    </row>
    <row r="594" ht="15.75" customHeight="1">
      <c r="H594" s="25"/>
    </row>
    <row r="595" ht="15.75" customHeight="1">
      <c r="H595" s="25"/>
    </row>
    <row r="596" ht="15.75" customHeight="1">
      <c r="H596" s="25"/>
    </row>
    <row r="597" ht="15.75" customHeight="1">
      <c r="H597" s="25"/>
    </row>
    <row r="598" ht="15.75" customHeight="1">
      <c r="H598" s="25"/>
    </row>
    <row r="599" ht="15.75" customHeight="1">
      <c r="H599" s="25"/>
    </row>
    <row r="600" ht="15.75" customHeight="1">
      <c r="H600" s="25"/>
    </row>
    <row r="601" ht="15.75" customHeight="1">
      <c r="H601" s="25"/>
    </row>
    <row r="602" ht="15.75" customHeight="1">
      <c r="H602" s="25"/>
    </row>
    <row r="603" ht="15.75" customHeight="1">
      <c r="H603" s="25"/>
    </row>
    <row r="604" ht="15.75" customHeight="1">
      <c r="H604" s="25"/>
    </row>
    <row r="605" ht="15.75" customHeight="1">
      <c r="H605" s="25"/>
    </row>
    <row r="606" ht="15.75" customHeight="1">
      <c r="H606" s="25"/>
    </row>
    <row r="607" ht="15.75" customHeight="1">
      <c r="H607" s="25"/>
    </row>
    <row r="608" ht="15.75" customHeight="1">
      <c r="H608" s="25"/>
    </row>
    <row r="609" ht="15.75" customHeight="1">
      <c r="H609" s="25"/>
    </row>
    <row r="610" ht="15.75" customHeight="1">
      <c r="H610" s="25"/>
    </row>
    <row r="611" ht="15.75" customHeight="1">
      <c r="H611" s="25"/>
    </row>
    <row r="612" ht="15.75" customHeight="1">
      <c r="H612" s="25"/>
    </row>
    <row r="613" ht="15.75" customHeight="1">
      <c r="H613" s="25"/>
    </row>
    <row r="614" ht="15.75" customHeight="1">
      <c r="H614" s="25"/>
    </row>
    <row r="615" ht="15.75" customHeight="1">
      <c r="H615" s="25"/>
    </row>
    <row r="616" ht="15.75" customHeight="1">
      <c r="H616" s="25"/>
    </row>
    <row r="617" ht="15.75" customHeight="1">
      <c r="H617" s="25"/>
    </row>
    <row r="618" ht="15.75" customHeight="1">
      <c r="H618" s="25"/>
    </row>
    <row r="619" ht="15.75" customHeight="1">
      <c r="H619" s="25"/>
    </row>
    <row r="620" ht="15.75" customHeight="1">
      <c r="H620" s="25"/>
    </row>
    <row r="621" ht="15.75" customHeight="1">
      <c r="H621" s="25"/>
    </row>
    <row r="622" ht="15.75" customHeight="1">
      <c r="H622" s="25"/>
    </row>
    <row r="623" ht="15.75" customHeight="1">
      <c r="H623" s="25"/>
    </row>
    <row r="624" ht="15.75" customHeight="1">
      <c r="H624" s="25"/>
    </row>
    <row r="625" ht="15.75" customHeight="1">
      <c r="H625" s="25"/>
    </row>
    <row r="626" ht="15.75" customHeight="1">
      <c r="H626" s="25"/>
    </row>
    <row r="627" ht="15.75" customHeight="1">
      <c r="H627" s="25"/>
    </row>
    <row r="628" ht="15.75" customHeight="1">
      <c r="H628" s="25"/>
    </row>
    <row r="629" ht="15.75" customHeight="1">
      <c r="H629" s="25"/>
    </row>
    <row r="630" ht="15.75" customHeight="1">
      <c r="H630" s="25"/>
    </row>
    <row r="631" ht="15.75" customHeight="1">
      <c r="H631" s="25"/>
    </row>
    <row r="632" ht="15.75" customHeight="1">
      <c r="H632" s="25"/>
    </row>
    <row r="633" ht="15.75" customHeight="1">
      <c r="H633" s="25"/>
    </row>
    <row r="634" ht="15.75" customHeight="1">
      <c r="H634" s="25"/>
    </row>
    <row r="635" ht="15.75" customHeight="1">
      <c r="H635" s="25"/>
    </row>
    <row r="636" ht="15.75" customHeight="1">
      <c r="H636" s="25"/>
    </row>
    <row r="637" ht="15.75" customHeight="1">
      <c r="H637" s="25"/>
    </row>
    <row r="638" ht="15.75" customHeight="1">
      <c r="H638" s="25"/>
    </row>
    <row r="639" ht="15.75" customHeight="1">
      <c r="H639" s="25"/>
    </row>
    <row r="640" ht="15.75" customHeight="1">
      <c r="H640" s="25"/>
    </row>
    <row r="641" ht="15.75" customHeight="1">
      <c r="H641" s="25"/>
    </row>
    <row r="642" ht="15.75" customHeight="1">
      <c r="H642" s="25"/>
    </row>
    <row r="643" ht="15.75" customHeight="1">
      <c r="H643" s="25"/>
    </row>
    <row r="644" ht="15.75" customHeight="1">
      <c r="H644" s="25"/>
    </row>
    <row r="645" ht="15.75" customHeight="1">
      <c r="H645" s="25"/>
    </row>
    <row r="646" ht="15.75" customHeight="1">
      <c r="H646" s="25"/>
    </row>
    <row r="647" ht="15.75" customHeight="1">
      <c r="H647" s="25"/>
    </row>
    <row r="648" ht="15.75" customHeight="1">
      <c r="H648" s="25"/>
    </row>
    <row r="649" ht="15.75" customHeight="1">
      <c r="H649" s="25"/>
    </row>
    <row r="650" ht="15.75" customHeight="1">
      <c r="H650" s="25"/>
    </row>
    <row r="651" ht="15.75" customHeight="1">
      <c r="H651" s="25"/>
    </row>
    <row r="652" ht="15.75" customHeight="1">
      <c r="H652" s="25"/>
    </row>
    <row r="653" ht="15.75" customHeight="1">
      <c r="H653" s="25"/>
    </row>
    <row r="654" ht="15.75" customHeight="1">
      <c r="H654" s="25"/>
    </row>
    <row r="655" ht="15.75" customHeight="1">
      <c r="H655" s="25"/>
    </row>
    <row r="656" ht="15.75" customHeight="1">
      <c r="H656" s="25"/>
    </row>
    <row r="657" ht="15.75" customHeight="1">
      <c r="H657" s="25"/>
    </row>
    <row r="658" ht="15.75" customHeight="1">
      <c r="H658" s="25"/>
    </row>
    <row r="659" ht="15.75" customHeight="1">
      <c r="H659" s="25"/>
    </row>
    <row r="660" ht="15.75" customHeight="1">
      <c r="H660" s="25"/>
    </row>
    <row r="661" ht="15.75" customHeight="1">
      <c r="H661" s="25"/>
    </row>
    <row r="662" ht="15.75" customHeight="1">
      <c r="H662" s="25"/>
    </row>
    <row r="663" ht="15.75" customHeight="1">
      <c r="H663" s="25"/>
    </row>
    <row r="664" ht="15.75" customHeight="1">
      <c r="H664" s="25"/>
    </row>
    <row r="665" ht="15.75" customHeight="1">
      <c r="H665" s="25"/>
    </row>
    <row r="666" ht="15.75" customHeight="1">
      <c r="H666" s="25"/>
    </row>
    <row r="667" ht="15.75" customHeight="1">
      <c r="H667" s="25"/>
    </row>
    <row r="668" ht="15.75" customHeight="1">
      <c r="H668" s="25"/>
    </row>
    <row r="669" ht="15.75" customHeight="1">
      <c r="H669" s="25"/>
    </row>
    <row r="670" ht="15.75" customHeight="1">
      <c r="H670" s="25"/>
    </row>
    <row r="671" ht="15.75" customHeight="1">
      <c r="H671" s="25"/>
    </row>
    <row r="672" ht="15.75" customHeight="1">
      <c r="H672" s="25"/>
    </row>
    <row r="673" ht="15.75" customHeight="1">
      <c r="H673" s="25"/>
    </row>
    <row r="674" ht="15.75" customHeight="1">
      <c r="H674" s="25"/>
    </row>
    <row r="675" ht="15.75" customHeight="1">
      <c r="H675" s="25"/>
    </row>
    <row r="676" ht="15.75" customHeight="1">
      <c r="H676" s="25"/>
    </row>
    <row r="677" ht="15.75" customHeight="1">
      <c r="H677" s="25"/>
    </row>
    <row r="678" ht="15.75" customHeight="1">
      <c r="H678" s="25"/>
    </row>
    <row r="679" ht="15.75" customHeight="1">
      <c r="H679" s="25"/>
    </row>
    <row r="680" ht="15.75" customHeight="1">
      <c r="H680" s="25"/>
    </row>
    <row r="681" ht="15.75" customHeight="1">
      <c r="H681" s="25"/>
    </row>
    <row r="682" ht="15.75" customHeight="1">
      <c r="H682" s="25"/>
    </row>
    <row r="683" ht="15.75" customHeight="1">
      <c r="H683" s="25"/>
    </row>
    <row r="684" ht="15.75" customHeight="1">
      <c r="H684" s="25"/>
    </row>
    <row r="685" ht="15.75" customHeight="1">
      <c r="H685" s="25"/>
    </row>
    <row r="686" ht="15.75" customHeight="1">
      <c r="H686" s="25"/>
    </row>
    <row r="687" ht="15.75" customHeight="1">
      <c r="H687" s="25"/>
    </row>
    <row r="688" ht="15.75" customHeight="1">
      <c r="H688" s="25"/>
    </row>
    <row r="689" ht="15.75" customHeight="1">
      <c r="H689" s="25"/>
    </row>
    <row r="690" ht="15.75" customHeight="1">
      <c r="H690" s="25"/>
    </row>
    <row r="691" ht="15.75" customHeight="1">
      <c r="H691" s="25"/>
    </row>
    <row r="692" ht="15.75" customHeight="1">
      <c r="H692" s="25"/>
    </row>
    <row r="693" ht="15.75" customHeight="1">
      <c r="H693" s="25"/>
    </row>
    <row r="694" ht="15.75" customHeight="1">
      <c r="H694" s="25"/>
    </row>
    <row r="695" ht="15.75" customHeight="1">
      <c r="H695" s="25"/>
    </row>
    <row r="696" ht="15.75" customHeight="1">
      <c r="H696" s="25"/>
    </row>
    <row r="697" ht="15.75" customHeight="1">
      <c r="H697" s="25"/>
    </row>
    <row r="698" ht="15.75" customHeight="1">
      <c r="H698" s="25"/>
    </row>
    <row r="699" ht="15.75" customHeight="1">
      <c r="H699" s="25"/>
    </row>
    <row r="700" ht="15.75" customHeight="1">
      <c r="H700" s="25"/>
    </row>
    <row r="701" ht="15.75" customHeight="1">
      <c r="H701" s="25"/>
    </row>
    <row r="702" ht="15.75" customHeight="1">
      <c r="H702" s="25"/>
    </row>
    <row r="703" ht="15.75" customHeight="1">
      <c r="H703" s="25"/>
    </row>
    <row r="704" ht="15.75" customHeight="1">
      <c r="H704" s="25"/>
    </row>
    <row r="705" ht="15.75" customHeight="1">
      <c r="H705" s="25"/>
    </row>
    <row r="706" ht="15.75" customHeight="1">
      <c r="H706" s="25"/>
    </row>
    <row r="707" ht="15.75" customHeight="1">
      <c r="H707" s="25"/>
    </row>
    <row r="708" ht="15.75" customHeight="1">
      <c r="H708" s="25"/>
    </row>
    <row r="709" ht="15.75" customHeight="1">
      <c r="H709" s="25"/>
    </row>
    <row r="710" ht="15.75" customHeight="1">
      <c r="H710" s="25"/>
    </row>
    <row r="711" ht="15.75" customHeight="1">
      <c r="H711" s="25"/>
    </row>
    <row r="712" ht="15.75" customHeight="1">
      <c r="H712" s="25"/>
    </row>
    <row r="713" ht="15.75" customHeight="1">
      <c r="H713" s="25"/>
    </row>
    <row r="714" ht="15.75" customHeight="1">
      <c r="H714" s="25"/>
    </row>
    <row r="715" ht="15.75" customHeight="1">
      <c r="H715" s="25"/>
    </row>
    <row r="716" ht="15.75" customHeight="1">
      <c r="H716" s="25"/>
    </row>
    <row r="717" ht="15.75" customHeight="1">
      <c r="H717" s="25"/>
    </row>
    <row r="718" ht="15.75" customHeight="1">
      <c r="H718" s="25"/>
    </row>
    <row r="719" ht="15.75" customHeight="1">
      <c r="H719" s="25"/>
    </row>
    <row r="720" ht="15.75" customHeight="1">
      <c r="H720" s="25"/>
    </row>
    <row r="721" ht="15.75" customHeight="1">
      <c r="H721" s="25"/>
    </row>
    <row r="722" ht="15.75" customHeight="1">
      <c r="H722" s="25"/>
    </row>
    <row r="723" ht="15.75" customHeight="1">
      <c r="H723" s="25"/>
    </row>
    <row r="724" ht="15.75" customHeight="1">
      <c r="H724" s="25"/>
    </row>
    <row r="725" ht="15.75" customHeight="1">
      <c r="H725" s="25"/>
    </row>
    <row r="726" ht="15.75" customHeight="1">
      <c r="H726" s="25"/>
    </row>
    <row r="727" ht="15.75" customHeight="1">
      <c r="H727" s="25"/>
    </row>
    <row r="728" ht="15.75" customHeight="1">
      <c r="H728" s="25"/>
    </row>
    <row r="729" ht="15.75" customHeight="1">
      <c r="H729" s="25"/>
    </row>
    <row r="730" ht="15.75" customHeight="1">
      <c r="H730" s="25"/>
    </row>
    <row r="731" ht="15.75" customHeight="1">
      <c r="H731" s="25"/>
    </row>
    <row r="732" ht="15.75" customHeight="1">
      <c r="H732" s="25"/>
    </row>
    <row r="733" ht="15.75" customHeight="1">
      <c r="H733" s="25"/>
    </row>
    <row r="734" ht="15.75" customHeight="1">
      <c r="H734" s="25"/>
    </row>
    <row r="735" ht="15.75" customHeight="1">
      <c r="H735" s="25"/>
    </row>
    <row r="736" ht="15.75" customHeight="1">
      <c r="H736" s="25"/>
    </row>
    <row r="737" ht="15.75" customHeight="1">
      <c r="H737" s="25"/>
    </row>
    <row r="738" ht="15.75" customHeight="1">
      <c r="H738" s="25"/>
    </row>
    <row r="739" ht="15.75" customHeight="1">
      <c r="H739" s="25"/>
    </row>
    <row r="740" ht="15.75" customHeight="1">
      <c r="H740" s="25"/>
    </row>
    <row r="741" ht="15.75" customHeight="1">
      <c r="H741" s="25"/>
    </row>
    <row r="742" ht="15.75" customHeight="1">
      <c r="H742" s="25"/>
    </row>
    <row r="743" ht="15.75" customHeight="1">
      <c r="H743" s="25"/>
    </row>
    <row r="744" ht="15.75" customHeight="1">
      <c r="H744" s="25"/>
    </row>
    <row r="745" ht="15.75" customHeight="1">
      <c r="H745" s="25"/>
    </row>
    <row r="746" ht="15.75" customHeight="1">
      <c r="H746" s="25"/>
    </row>
    <row r="747" ht="15.75" customHeight="1">
      <c r="H747" s="25"/>
    </row>
    <row r="748" ht="15.75" customHeight="1">
      <c r="H748" s="25"/>
    </row>
    <row r="749" ht="15.75" customHeight="1">
      <c r="H749" s="25"/>
    </row>
    <row r="750" ht="15.75" customHeight="1">
      <c r="H750" s="25"/>
    </row>
    <row r="751" ht="15.75" customHeight="1">
      <c r="H751" s="25"/>
    </row>
    <row r="752" ht="15.75" customHeight="1">
      <c r="H752" s="25"/>
    </row>
    <row r="753" ht="15.75" customHeight="1">
      <c r="H753" s="25"/>
    </row>
    <row r="754" ht="15.75" customHeight="1">
      <c r="H754" s="25"/>
    </row>
    <row r="755" ht="15.75" customHeight="1">
      <c r="H755" s="25"/>
    </row>
    <row r="756" ht="15.75" customHeight="1">
      <c r="H756" s="25"/>
    </row>
    <row r="757" ht="15.75" customHeight="1">
      <c r="H757" s="25"/>
    </row>
    <row r="758" ht="15.75" customHeight="1">
      <c r="H758" s="25"/>
    </row>
    <row r="759" ht="15.75" customHeight="1">
      <c r="H759" s="25"/>
    </row>
    <row r="760" ht="15.75" customHeight="1">
      <c r="H760" s="25"/>
    </row>
    <row r="761" ht="15.75" customHeight="1">
      <c r="H761" s="25"/>
    </row>
    <row r="762" ht="15.75" customHeight="1">
      <c r="H762" s="25"/>
    </row>
    <row r="763" ht="15.75" customHeight="1">
      <c r="H763" s="25"/>
    </row>
    <row r="764" ht="15.75" customHeight="1">
      <c r="H764" s="25"/>
    </row>
    <row r="765" ht="15.75" customHeight="1">
      <c r="H765" s="25"/>
    </row>
    <row r="766" ht="15.75" customHeight="1">
      <c r="H766" s="25"/>
    </row>
    <row r="767" ht="15.75" customHeight="1">
      <c r="H767" s="25"/>
    </row>
    <row r="768" ht="15.75" customHeight="1">
      <c r="H768" s="25"/>
    </row>
    <row r="769" ht="15.75" customHeight="1">
      <c r="H769" s="25"/>
    </row>
    <row r="770" ht="15.75" customHeight="1">
      <c r="H770" s="25"/>
    </row>
    <row r="771" ht="15.75" customHeight="1">
      <c r="H771" s="25"/>
    </row>
    <row r="772" ht="15.75" customHeight="1">
      <c r="H772" s="25"/>
    </row>
    <row r="773" ht="15.75" customHeight="1">
      <c r="H773" s="25"/>
    </row>
    <row r="774" ht="15.75" customHeight="1">
      <c r="H774" s="25"/>
    </row>
    <row r="775" ht="15.75" customHeight="1">
      <c r="H775" s="25"/>
    </row>
    <row r="776" ht="15.75" customHeight="1">
      <c r="H776" s="25"/>
    </row>
    <row r="777" ht="15.75" customHeight="1">
      <c r="H777" s="25"/>
    </row>
    <row r="778" ht="15.75" customHeight="1">
      <c r="H778" s="25"/>
    </row>
    <row r="779" ht="15.75" customHeight="1">
      <c r="H779" s="25"/>
    </row>
    <row r="780" ht="15.75" customHeight="1">
      <c r="H780" s="25"/>
    </row>
    <row r="781" ht="15.75" customHeight="1">
      <c r="H781" s="25"/>
    </row>
    <row r="782" ht="15.75" customHeight="1">
      <c r="H782" s="25"/>
    </row>
    <row r="783" ht="15.75" customHeight="1">
      <c r="H783" s="25"/>
    </row>
    <row r="784" ht="15.75" customHeight="1">
      <c r="H784" s="25"/>
    </row>
    <row r="785" ht="15.75" customHeight="1">
      <c r="H785" s="25"/>
    </row>
    <row r="786" ht="15.75" customHeight="1">
      <c r="H786" s="25"/>
    </row>
    <row r="787" ht="15.75" customHeight="1">
      <c r="H787" s="25"/>
    </row>
    <row r="788" ht="15.75" customHeight="1">
      <c r="H788" s="25"/>
    </row>
    <row r="789" ht="15.75" customHeight="1">
      <c r="H789" s="25"/>
    </row>
    <row r="790" ht="15.75" customHeight="1">
      <c r="H790" s="25"/>
    </row>
    <row r="791" ht="15.75" customHeight="1">
      <c r="H791" s="25"/>
    </row>
    <row r="792" ht="15.75" customHeight="1">
      <c r="H792" s="25"/>
    </row>
    <row r="793" ht="15.75" customHeight="1">
      <c r="H793" s="25"/>
    </row>
    <row r="794" ht="15.75" customHeight="1">
      <c r="H794" s="25"/>
    </row>
    <row r="795" ht="15.75" customHeight="1">
      <c r="H795" s="25"/>
    </row>
    <row r="796" ht="15.75" customHeight="1">
      <c r="H796" s="25"/>
    </row>
    <row r="797" ht="15.75" customHeight="1">
      <c r="H797" s="25"/>
    </row>
    <row r="798" ht="15.75" customHeight="1">
      <c r="H798" s="25"/>
    </row>
    <row r="799" ht="15.75" customHeight="1">
      <c r="H799" s="25"/>
    </row>
    <row r="800" ht="15.75" customHeight="1">
      <c r="H800" s="25"/>
    </row>
    <row r="801" ht="15.75" customHeight="1">
      <c r="H801" s="25"/>
    </row>
    <row r="802" ht="15.75" customHeight="1">
      <c r="H802" s="25"/>
    </row>
    <row r="803" ht="15.75" customHeight="1">
      <c r="H803" s="25"/>
    </row>
    <row r="804" ht="15.75" customHeight="1">
      <c r="H804" s="25"/>
    </row>
    <row r="805" ht="15.75" customHeight="1">
      <c r="H805" s="25"/>
    </row>
    <row r="806" ht="15.75" customHeight="1">
      <c r="H806" s="25"/>
    </row>
    <row r="807" ht="15.75" customHeight="1">
      <c r="H807" s="25"/>
    </row>
    <row r="808" ht="15.75" customHeight="1">
      <c r="H808" s="25"/>
    </row>
    <row r="809" ht="15.75" customHeight="1">
      <c r="H809" s="25"/>
    </row>
    <row r="810" ht="15.75" customHeight="1">
      <c r="H810" s="25"/>
    </row>
    <row r="811" ht="15.75" customHeight="1">
      <c r="H811" s="25"/>
    </row>
    <row r="812" ht="15.75" customHeight="1">
      <c r="H812" s="25"/>
    </row>
    <row r="813" ht="15.75" customHeight="1">
      <c r="H813" s="25"/>
    </row>
    <row r="814" ht="15.75" customHeight="1">
      <c r="H814" s="25"/>
    </row>
    <row r="815" ht="15.75" customHeight="1">
      <c r="H815" s="25"/>
    </row>
    <row r="816" ht="15.75" customHeight="1">
      <c r="H816" s="25"/>
    </row>
    <row r="817" ht="15.75" customHeight="1">
      <c r="H817" s="25"/>
    </row>
    <row r="818" ht="15.75" customHeight="1">
      <c r="H818" s="25"/>
    </row>
    <row r="819" ht="15.75" customHeight="1">
      <c r="H819" s="25"/>
    </row>
    <row r="820" ht="15.75" customHeight="1">
      <c r="H820" s="25"/>
    </row>
    <row r="821" ht="15.75" customHeight="1">
      <c r="H821" s="25"/>
    </row>
    <row r="822" ht="15.75" customHeight="1">
      <c r="H822" s="25"/>
    </row>
    <row r="823" ht="15.75" customHeight="1">
      <c r="H823" s="25"/>
    </row>
    <row r="824" ht="15.75" customHeight="1">
      <c r="H824" s="25"/>
    </row>
    <row r="825" ht="15.75" customHeight="1">
      <c r="H825" s="25"/>
    </row>
    <row r="826" ht="15.75" customHeight="1">
      <c r="H826" s="25"/>
    </row>
    <row r="827" ht="15.75" customHeight="1">
      <c r="H827" s="25"/>
    </row>
    <row r="828" ht="15.75" customHeight="1">
      <c r="H828" s="25"/>
    </row>
    <row r="829" ht="15.75" customHeight="1">
      <c r="H829" s="25"/>
    </row>
    <row r="830" ht="15.75" customHeight="1">
      <c r="H830" s="25"/>
    </row>
    <row r="831" ht="15.75" customHeight="1">
      <c r="H831" s="25"/>
    </row>
    <row r="832" ht="15.75" customHeight="1">
      <c r="H832" s="25"/>
    </row>
    <row r="833" ht="15.75" customHeight="1">
      <c r="H833" s="25"/>
    </row>
    <row r="834" ht="15.75" customHeight="1">
      <c r="H834" s="25"/>
    </row>
    <row r="835" ht="15.75" customHeight="1">
      <c r="H835" s="25"/>
    </row>
    <row r="836" ht="15.75" customHeight="1">
      <c r="H836" s="25"/>
    </row>
    <row r="837" ht="15.75" customHeight="1">
      <c r="H837" s="25"/>
    </row>
    <row r="838" ht="15.75" customHeight="1">
      <c r="H838" s="25"/>
    </row>
    <row r="839" ht="15.75" customHeight="1">
      <c r="H839" s="25"/>
    </row>
    <row r="840" ht="15.75" customHeight="1">
      <c r="H840" s="25"/>
    </row>
    <row r="841" ht="15.75" customHeight="1">
      <c r="H841" s="25"/>
    </row>
    <row r="842" ht="15.75" customHeight="1">
      <c r="H842" s="25"/>
    </row>
    <row r="843" ht="15.75" customHeight="1">
      <c r="H843" s="25"/>
    </row>
    <row r="844" ht="15.75" customHeight="1">
      <c r="H844" s="25"/>
    </row>
    <row r="845" ht="15.75" customHeight="1">
      <c r="H845" s="25"/>
    </row>
    <row r="846" ht="15.75" customHeight="1">
      <c r="H846" s="25"/>
    </row>
    <row r="847" ht="15.75" customHeight="1">
      <c r="H847" s="25"/>
    </row>
    <row r="848" ht="15.75" customHeight="1">
      <c r="H848" s="25"/>
    </row>
    <row r="849" ht="15.75" customHeight="1">
      <c r="H849" s="25"/>
    </row>
    <row r="850" ht="15.75" customHeight="1">
      <c r="H850" s="25"/>
    </row>
    <row r="851" ht="15.75" customHeight="1">
      <c r="H851" s="25"/>
    </row>
    <row r="852" ht="15.75" customHeight="1">
      <c r="H852" s="25"/>
    </row>
    <row r="853" ht="15.75" customHeight="1">
      <c r="H853" s="25"/>
    </row>
    <row r="854" ht="15.75" customHeight="1">
      <c r="H854" s="25"/>
    </row>
    <row r="855" ht="15.75" customHeight="1">
      <c r="H855" s="25"/>
    </row>
    <row r="856" ht="15.75" customHeight="1">
      <c r="H856" s="25"/>
    </row>
    <row r="857" ht="15.75" customHeight="1">
      <c r="H857" s="25"/>
    </row>
    <row r="858" ht="15.75" customHeight="1">
      <c r="H858" s="25"/>
    </row>
    <row r="859" ht="15.75" customHeight="1">
      <c r="H859" s="25"/>
    </row>
    <row r="860" ht="15.75" customHeight="1">
      <c r="H860" s="25"/>
    </row>
    <row r="861" ht="15.75" customHeight="1">
      <c r="H861" s="25"/>
    </row>
    <row r="862" ht="15.75" customHeight="1">
      <c r="H862" s="25"/>
    </row>
    <row r="863" ht="15.75" customHeight="1">
      <c r="H863" s="25"/>
    </row>
    <row r="864" ht="15.75" customHeight="1">
      <c r="H864" s="25"/>
    </row>
    <row r="865" ht="15.75" customHeight="1">
      <c r="H865" s="25"/>
    </row>
    <row r="866" ht="15.75" customHeight="1">
      <c r="H866" s="25"/>
    </row>
    <row r="867" ht="15.75" customHeight="1">
      <c r="H867" s="25"/>
    </row>
    <row r="868" ht="15.75" customHeight="1">
      <c r="H868" s="25"/>
    </row>
    <row r="869" ht="15.75" customHeight="1">
      <c r="H869" s="25"/>
    </row>
    <row r="870" ht="15.75" customHeight="1">
      <c r="H870" s="25"/>
    </row>
    <row r="871" ht="15.75" customHeight="1">
      <c r="H871" s="25"/>
    </row>
    <row r="872" ht="15.75" customHeight="1">
      <c r="H872" s="25"/>
    </row>
    <row r="873" ht="15.75" customHeight="1">
      <c r="H873" s="25"/>
    </row>
    <row r="874" ht="15.75" customHeight="1">
      <c r="H874" s="25"/>
    </row>
    <row r="875" ht="15.75" customHeight="1">
      <c r="H875" s="25"/>
    </row>
    <row r="876" ht="15.75" customHeight="1">
      <c r="H876" s="25"/>
    </row>
    <row r="877" ht="15.75" customHeight="1">
      <c r="H877" s="25"/>
    </row>
    <row r="878" ht="15.75" customHeight="1">
      <c r="H878" s="25"/>
    </row>
    <row r="879" ht="15.75" customHeight="1">
      <c r="H879" s="25"/>
    </row>
    <row r="880" ht="15.75" customHeight="1">
      <c r="H880" s="25"/>
    </row>
    <row r="881" ht="15.75" customHeight="1">
      <c r="H881" s="25"/>
    </row>
    <row r="882" ht="15.75" customHeight="1">
      <c r="H882" s="25"/>
    </row>
    <row r="883" ht="15.75" customHeight="1">
      <c r="H883" s="25"/>
    </row>
    <row r="884" ht="15.75" customHeight="1">
      <c r="H884" s="25"/>
    </row>
    <row r="885" ht="15.75" customHeight="1">
      <c r="H885" s="25"/>
    </row>
    <row r="886" ht="15.75" customHeight="1">
      <c r="H886" s="25"/>
    </row>
    <row r="887" ht="15.75" customHeight="1">
      <c r="H887" s="25"/>
    </row>
    <row r="888" ht="15.75" customHeight="1">
      <c r="H888" s="25"/>
    </row>
    <row r="889" ht="15.75" customHeight="1">
      <c r="H889" s="25"/>
    </row>
    <row r="890" ht="15.75" customHeight="1">
      <c r="H890" s="25"/>
    </row>
    <row r="891" ht="15.75" customHeight="1">
      <c r="H891" s="25"/>
    </row>
    <row r="892" ht="15.75" customHeight="1">
      <c r="H892" s="25"/>
    </row>
    <row r="893" ht="15.75" customHeight="1">
      <c r="H893" s="25"/>
    </row>
    <row r="894" ht="15.75" customHeight="1">
      <c r="H894" s="25"/>
    </row>
    <row r="895" ht="15.75" customHeight="1">
      <c r="H895" s="25"/>
    </row>
    <row r="896" ht="15.75" customHeight="1">
      <c r="H896" s="25"/>
    </row>
    <row r="897" ht="15.75" customHeight="1">
      <c r="H897" s="25"/>
    </row>
    <row r="898" ht="15.75" customHeight="1">
      <c r="H898" s="25"/>
    </row>
    <row r="899" ht="15.75" customHeight="1">
      <c r="H899" s="25"/>
    </row>
    <row r="900" ht="15.75" customHeight="1">
      <c r="H900" s="25"/>
    </row>
    <row r="901" ht="15.75" customHeight="1">
      <c r="H901" s="25"/>
    </row>
    <row r="902" ht="15.75" customHeight="1">
      <c r="H902" s="25"/>
    </row>
    <row r="903" ht="15.75" customHeight="1">
      <c r="H903" s="25"/>
    </row>
    <row r="904" ht="15.75" customHeight="1">
      <c r="H904" s="25"/>
    </row>
    <row r="905" ht="15.75" customHeight="1">
      <c r="H905" s="25"/>
    </row>
    <row r="906" ht="15.75" customHeight="1">
      <c r="H906" s="25"/>
    </row>
    <row r="907" ht="15.75" customHeight="1">
      <c r="H907" s="25"/>
    </row>
    <row r="908" ht="15.75" customHeight="1">
      <c r="H908" s="25"/>
    </row>
    <row r="909" ht="15.75" customHeight="1">
      <c r="H909" s="25"/>
    </row>
    <row r="910" ht="15.75" customHeight="1">
      <c r="H910" s="25"/>
    </row>
    <row r="911" ht="15.75" customHeight="1">
      <c r="H911" s="25"/>
    </row>
    <row r="912" ht="15.75" customHeight="1">
      <c r="H912" s="25"/>
    </row>
    <row r="913" ht="15.75" customHeight="1">
      <c r="H913" s="25"/>
    </row>
    <row r="914" ht="15.75" customHeight="1">
      <c r="H914" s="25"/>
    </row>
    <row r="915" ht="15.75" customHeight="1">
      <c r="H915" s="25"/>
    </row>
    <row r="916" ht="15.75" customHeight="1">
      <c r="H916" s="25"/>
    </row>
    <row r="917" ht="15.75" customHeight="1">
      <c r="H917" s="25"/>
    </row>
    <row r="918" ht="15.75" customHeight="1">
      <c r="H918" s="25"/>
    </row>
    <row r="919" ht="15.75" customHeight="1">
      <c r="H919" s="25"/>
    </row>
    <row r="920" ht="15.75" customHeight="1">
      <c r="H920" s="25"/>
    </row>
    <row r="921" ht="15.75" customHeight="1">
      <c r="H921" s="25"/>
    </row>
    <row r="922" ht="15.75" customHeight="1">
      <c r="H922" s="25"/>
    </row>
    <row r="923" ht="15.75" customHeight="1">
      <c r="H923" s="25"/>
    </row>
    <row r="924" ht="15.75" customHeight="1">
      <c r="H924" s="25"/>
    </row>
    <row r="925" ht="15.75" customHeight="1">
      <c r="H925" s="25"/>
    </row>
    <row r="926" ht="15.75" customHeight="1">
      <c r="H926" s="25"/>
    </row>
    <row r="927" ht="15.75" customHeight="1">
      <c r="H927" s="25"/>
    </row>
    <row r="928" ht="15.75" customHeight="1">
      <c r="H928" s="25"/>
    </row>
    <row r="929" ht="15.75" customHeight="1">
      <c r="H929" s="25"/>
    </row>
    <row r="930" ht="15.75" customHeight="1">
      <c r="H930" s="25"/>
    </row>
    <row r="931" ht="15.75" customHeight="1">
      <c r="H931" s="25"/>
    </row>
    <row r="932" ht="15.75" customHeight="1">
      <c r="H932" s="25"/>
    </row>
    <row r="933" ht="15.75" customHeight="1">
      <c r="H933" s="25"/>
    </row>
    <row r="934" ht="15.75" customHeight="1">
      <c r="H934" s="25"/>
    </row>
    <row r="935" ht="15.75" customHeight="1">
      <c r="H935" s="25"/>
    </row>
    <row r="936" ht="15.75" customHeight="1">
      <c r="H936" s="25"/>
    </row>
    <row r="937" ht="15.75" customHeight="1">
      <c r="H937" s="25"/>
    </row>
    <row r="938" ht="15.75" customHeight="1">
      <c r="H938" s="25"/>
    </row>
    <row r="939" ht="15.75" customHeight="1">
      <c r="H939" s="25"/>
    </row>
    <row r="940" ht="15.75" customHeight="1">
      <c r="H940" s="25"/>
    </row>
    <row r="941" ht="15.75" customHeight="1">
      <c r="H941" s="25"/>
    </row>
    <row r="942" ht="15.75" customHeight="1">
      <c r="H942" s="25"/>
    </row>
    <row r="943" ht="15.75" customHeight="1">
      <c r="H943" s="25"/>
    </row>
    <row r="944" ht="15.75" customHeight="1">
      <c r="H944" s="25"/>
    </row>
    <row r="945" ht="15.75" customHeight="1">
      <c r="H945" s="25"/>
    </row>
    <row r="946" ht="15.75" customHeight="1">
      <c r="H946" s="25"/>
    </row>
    <row r="947" ht="15.75" customHeight="1">
      <c r="H947" s="25"/>
    </row>
    <row r="948" ht="15.75" customHeight="1">
      <c r="H948" s="25"/>
    </row>
    <row r="949" ht="15.75" customHeight="1">
      <c r="H949" s="25"/>
    </row>
    <row r="950" ht="15.75" customHeight="1">
      <c r="H950" s="25"/>
    </row>
    <row r="951" ht="15.75" customHeight="1">
      <c r="H951" s="25"/>
    </row>
    <row r="952" ht="15.75" customHeight="1">
      <c r="H952" s="25"/>
    </row>
    <row r="953" ht="15.75" customHeight="1">
      <c r="H953" s="25"/>
    </row>
    <row r="954" ht="15.75" customHeight="1">
      <c r="H954" s="25"/>
    </row>
    <row r="955" ht="15.75" customHeight="1">
      <c r="H955" s="25"/>
    </row>
    <row r="956" ht="15.75" customHeight="1">
      <c r="H956" s="25"/>
    </row>
    <row r="957" ht="15.75" customHeight="1">
      <c r="H957" s="25"/>
    </row>
    <row r="958" ht="15.75" customHeight="1">
      <c r="H958" s="25"/>
    </row>
    <row r="959" ht="15.75" customHeight="1">
      <c r="H959" s="25"/>
    </row>
    <row r="960" ht="15.75" customHeight="1">
      <c r="H960" s="25"/>
    </row>
    <row r="961" ht="15.75" customHeight="1">
      <c r="H961" s="25"/>
    </row>
    <row r="962" ht="15.75" customHeight="1">
      <c r="H962" s="25"/>
    </row>
    <row r="963" ht="15.75" customHeight="1">
      <c r="H963" s="25"/>
    </row>
    <row r="964" ht="15.75" customHeight="1">
      <c r="H964" s="25"/>
    </row>
    <row r="965" ht="15.75" customHeight="1">
      <c r="H965" s="25"/>
    </row>
    <row r="966" ht="15.75" customHeight="1">
      <c r="H966" s="25"/>
    </row>
    <row r="967" ht="15.75" customHeight="1">
      <c r="H967" s="25"/>
    </row>
    <row r="968" ht="15.75" customHeight="1">
      <c r="H968" s="25"/>
    </row>
    <row r="969" ht="15.75" customHeight="1">
      <c r="H969" s="25"/>
    </row>
    <row r="970" ht="15.75" customHeight="1">
      <c r="H970" s="25"/>
    </row>
    <row r="971" ht="15.75" customHeight="1">
      <c r="H971" s="25"/>
    </row>
    <row r="972" ht="15.75" customHeight="1">
      <c r="H972" s="25"/>
    </row>
    <row r="973" ht="15.75" customHeight="1">
      <c r="H973" s="25"/>
    </row>
    <row r="974" ht="15.75" customHeight="1">
      <c r="H974" s="25"/>
    </row>
    <row r="975" ht="15.75" customHeight="1">
      <c r="H975" s="25"/>
    </row>
    <row r="976" ht="15.75" customHeight="1">
      <c r="H976" s="25"/>
    </row>
    <row r="977" ht="15.75" customHeight="1">
      <c r="H977" s="25"/>
    </row>
    <row r="978" ht="15.75" customHeight="1">
      <c r="H978" s="25"/>
    </row>
    <row r="979" ht="15.75" customHeight="1">
      <c r="H979" s="25"/>
    </row>
    <row r="980" ht="15.75" customHeight="1">
      <c r="H980" s="25"/>
    </row>
    <row r="981" ht="15.75" customHeight="1">
      <c r="H981" s="25"/>
    </row>
    <row r="982" ht="15.75" customHeight="1">
      <c r="H982" s="25"/>
    </row>
    <row r="983" ht="15.75" customHeight="1">
      <c r="H983" s="25"/>
    </row>
    <row r="984" ht="15.75" customHeight="1">
      <c r="H984" s="25"/>
    </row>
    <row r="985" ht="15.75" customHeight="1">
      <c r="H985" s="25"/>
    </row>
    <row r="986" ht="15.75" customHeight="1">
      <c r="H986" s="25"/>
    </row>
    <row r="987" ht="15.75" customHeight="1">
      <c r="H987" s="25"/>
    </row>
    <row r="988" ht="15.75" customHeight="1">
      <c r="H988" s="25"/>
    </row>
    <row r="989" ht="15.75" customHeight="1">
      <c r="H989" s="25"/>
    </row>
    <row r="990" ht="15.75" customHeight="1"/>
  </sheetData>
  <dataValidations>
    <dataValidation type="list" allowBlank="1" sqref="C2:C71">
      <formula1>"Bollywood,Tollywood,Kollywood,Mollywood,Pollywood,Sandalwood,Oollywood,Dhallywood"</formula1>
    </dataValidation>
    <dataValidation type="list" allowBlank="1" sqref="F2:F71">
      <formula1>"1,2,3,4,5,6,7,8,9,10,11,12"</formula1>
    </dataValidation>
    <dataValidation type="custom" allowBlank="1" showDropDown="1" sqref="A2:A71 I2:P71">
      <formula1>AND(ISNUMBER(A2),(NOT(OR(NOT(ISERROR(DATEVALUE(A2))), AND(ISNUMBER(A2), LEFT(CELL("format", A2))="D")))))</formula1>
    </dataValidation>
    <dataValidation type="list" allowBlank="1" sqref="D2:D71">
      <formula1>"Hindi,Telugu,Tamil,Malayalam,Punjabi,Kannada,Odia,Bengali"</formula1>
    </dataValidation>
    <dataValidation type="list" allowBlank="1" sqref="E2:E71">
      <formula1>"Sci-Fi,Action,Comedy,Thriller,Horror,Family,Romance,Drama,Fantasy,Biography,Spy,Historical ,Epic,Crime"</formula1>
    </dataValidation>
    <dataValidation allowBlank="1" showDropDown="1" sqref="G2:H71"/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346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16.0"/>
    <col customWidth="1" min="3" max="3" width="13.86"/>
    <col customWidth="1" min="4" max="4" width="24.43"/>
    <col customWidth="1" min="5" max="5" width="29.57"/>
    <col customWidth="1" min="6" max="6" width="21.14"/>
    <col customWidth="1" min="7" max="7" width="27.0"/>
    <col customWidth="1" min="8" max="8" width="13.57"/>
    <col customWidth="1" min="9" max="9" width="17.14"/>
    <col customWidth="1" min="10" max="10" width="13.86"/>
    <col customWidth="1" min="11" max="11" width="16.43"/>
    <col customWidth="1" min="12" max="12" width="13.57"/>
    <col customWidth="1" min="13" max="26" width="8.71"/>
  </cols>
  <sheetData>
    <row r="1" ht="27.75" customHeight="1">
      <c r="A1" s="1" t="s">
        <v>2</v>
      </c>
      <c r="B1" s="1" t="s">
        <v>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11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15</v>
      </c>
    </row>
    <row r="2" ht="22.5" customHeight="1">
      <c r="A2" s="26" t="str">
        <f t="array" ref="A2:A8">UNIQUE(Film_Industry_Performance[House])</f>
        <v>Bollywood</v>
      </c>
      <c r="B2" s="27" t="str">
        <f t="array" ref="B2">XLOOKUP(A2, Film_Industry_Performance[House], Film_Industry_Performance[Language])</f>
        <v>Hindi</v>
      </c>
      <c r="C2" s="14">
        <f>COUNTIF(Film_Industry_Performance[Language], B2)</f>
        <v>10</v>
      </c>
      <c r="D2" s="10">
        <f>SUMIF(Film_Industry_Performance[Language], B2, Film_Industry_Performance[Budget (₹ Cr)])</f>
        <v>1746.1</v>
      </c>
      <c r="E2" s="10">
        <f>SUMIF(Film_Industry_Performance[Language], B2, Film_Industry_Performance[Box Office (₹ Cr)])</f>
        <v>4974.34</v>
      </c>
      <c r="F2" s="10">
        <f>SUMIF(Film_Industry_Performance[Language], B2, Film_Industry_Performance[OTT Rights (₹ Cr)])</f>
        <v>831.7</v>
      </c>
      <c r="G2" s="10">
        <f t="shared" ref="G2:G8" si="1">SUM(E2:F2)</f>
        <v>5806.04</v>
      </c>
      <c r="H2" s="11">
        <f t="shared" ref="H2:H9" si="2">G2/D2</f>
        <v>3.325147472</v>
      </c>
      <c r="I2" s="28">
        <f>COUNTIFS(Film_Industry_Performance[ROI (x)], "&gt;1", Film_Industry_Performance[Language], B2)/C2</f>
        <v>1</v>
      </c>
      <c r="J2" s="13">
        <f>AVERAGEIF(Film_Industry_Performance[Language], B2, Film_Industry_Performance[Critic Score])</f>
        <v>6.99</v>
      </c>
      <c r="K2" s="13">
        <f>AVERAGEIF(Film_Industry_Performance[Language], B2, Film_Industry_Performance[Audience Score])</f>
        <v>7.63</v>
      </c>
      <c r="L2" s="13">
        <f t="shared" ref="L2:L8" si="3">AVERAGE(J2:K2)</f>
        <v>7.31</v>
      </c>
    </row>
    <row r="3" ht="22.5" customHeight="1">
      <c r="A3" s="26" t="s">
        <v>38</v>
      </c>
      <c r="B3" s="27" t="str">
        <f t="array" ref="B3">XLOOKUP(A3, Film_Industry_Performance[House], Film_Industry_Performance[Language])</f>
        <v>Tamil</v>
      </c>
      <c r="C3" s="14">
        <f>COUNTIF(Film_Industry_Performance[Language], B3)</f>
        <v>10</v>
      </c>
      <c r="D3" s="10">
        <f>SUMIF(Film_Industry_Performance[Language], B3, Film_Industry_Performance[Budget (₹ Cr)])</f>
        <v>1404</v>
      </c>
      <c r="E3" s="10">
        <f>SUMIF(Film_Industry_Performance[Language], B3, Film_Industry_Performance[Box Office (₹ Cr)])</f>
        <v>1642</v>
      </c>
      <c r="F3" s="10">
        <f>SUMIF(Film_Industry_Performance[Language], B3, Film_Industry_Performance[OTT Rights (₹ Cr)])</f>
        <v>615</v>
      </c>
      <c r="G3" s="10">
        <f t="shared" si="1"/>
        <v>2257</v>
      </c>
      <c r="H3" s="11">
        <f t="shared" si="2"/>
        <v>1.607549858</v>
      </c>
      <c r="I3" s="28">
        <f>COUNTIFS(Film_Industry_Performance[ROI (x)], "&gt;1", Film_Industry_Performance[Language], B3)/C3</f>
        <v>0.8</v>
      </c>
      <c r="J3" s="13">
        <f>AVERAGEIF(Film_Industry_Performance[Language], B3, Film_Industry_Performance[Critic Score])</f>
        <v>6.9</v>
      </c>
      <c r="K3" s="13">
        <f>AVERAGEIF(Film_Industry_Performance[Language], B3, Film_Industry_Performance[Audience Score])</f>
        <v>7.76</v>
      </c>
      <c r="L3" s="13">
        <f t="shared" si="3"/>
        <v>7.33</v>
      </c>
    </row>
    <row r="4" ht="22.5" customHeight="1">
      <c r="A4" s="26" t="s">
        <v>57</v>
      </c>
      <c r="B4" s="27" t="str">
        <f t="array" ref="B4">XLOOKUP(A4, Film_Industry_Performance[House], Film_Industry_Performance[Language])</f>
        <v>Malayalam</v>
      </c>
      <c r="C4" s="14">
        <f>COUNTIF(Film_Industry_Performance[Language], B4)</f>
        <v>10</v>
      </c>
      <c r="D4" s="10">
        <f>SUMIF(Film_Industry_Performance[Language], B4, Film_Industry_Performance[Budget (₹ Cr)])</f>
        <v>339</v>
      </c>
      <c r="E4" s="10">
        <f>SUMIF(Film_Industry_Performance[Language], B4, Film_Industry_Performance[Box Office (₹ Cr)])</f>
        <v>1345</v>
      </c>
      <c r="F4" s="10">
        <f>SUMIF(Film_Industry_Performance[Language], B4, Film_Industry_Performance[OTT Rights (₹ Cr)])</f>
        <v>277</v>
      </c>
      <c r="G4" s="10">
        <f t="shared" si="1"/>
        <v>1622</v>
      </c>
      <c r="H4" s="11">
        <f t="shared" si="2"/>
        <v>4.784660767</v>
      </c>
      <c r="I4" s="28">
        <f>COUNTIFS(Film_Industry_Performance[ROI (x)], "&gt;1", Film_Industry_Performance[Language], B4)/C4</f>
        <v>1</v>
      </c>
      <c r="J4" s="13">
        <f>AVERAGEIF(Film_Industry_Performance[Language], B4, Film_Industry_Performance[Critic Score])</f>
        <v>7.37</v>
      </c>
      <c r="K4" s="13">
        <f>AVERAGEIF(Film_Industry_Performance[Language], B4, Film_Industry_Performance[Audience Score])</f>
        <v>7.93</v>
      </c>
      <c r="L4" s="13">
        <f t="shared" si="3"/>
        <v>7.65</v>
      </c>
    </row>
    <row r="5" ht="22.5" customHeight="1">
      <c r="A5" s="26" t="s">
        <v>72</v>
      </c>
      <c r="B5" s="27" t="str">
        <f t="array" ref="B5">XLOOKUP(A5, Film_Industry_Performance[House], Film_Industry_Performance[Language])</f>
        <v>Odia</v>
      </c>
      <c r="C5" s="14">
        <f>COUNTIF(Film_Industry_Performance[Language], B5)</f>
        <v>10</v>
      </c>
      <c r="D5" s="10">
        <f>SUMIF(Film_Industry_Performance[Language], B5, Film_Industry_Performance[Budget (₹ Cr)])</f>
        <v>147.5</v>
      </c>
      <c r="E5" s="10">
        <f>SUMIF(Film_Industry_Performance[Language], B5, Film_Industry_Performance[Box Office (₹ Cr)])</f>
        <v>229</v>
      </c>
      <c r="F5" s="10">
        <f>SUMIF(Film_Industry_Performance[Language], B5, Film_Industry_Performance[OTT Rights (₹ Cr)])</f>
        <v>83.5</v>
      </c>
      <c r="G5" s="10">
        <f t="shared" si="1"/>
        <v>312.5</v>
      </c>
      <c r="H5" s="11">
        <f t="shared" si="2"/>
        <v>2.118644068</v>
      </c>
      <c r="I5" s="28">
        <f>COUNTIFS(Film_Industry_Performance[ROI (x)], "&gt;1", Film_Industry_Performance[Language], B5)/C5</f>
        <v>1</v>
      </c>
      <c r="J5" s="13">
        <f>AVERAGEIF(Film_Industry_Performance[Language], B5, Film_Industry_Performance[Critic Score])</f>
        <v>7.53</v>
      </c>
      <c r="K5" s="13">
        <f>AVERAGEIF(Film_Industry_Performance[Language], B5, Film_Industry_Performance[Audience Score])</f>
        <v>8.12</v>
      </c>
      <c r="L5" s="13">
        <f t="shared" si="3"/>
        <v>7.825</v>
      </c>
    </row>
    <row r="6" ht="22.5" customHeight="1">
      <c r="A6" s="26" t="s">
        <v>89</v>
      </c>
      <c r="B6" s="27" t="str">
        <f t="array" ref="B6">XLOOKUP(A6, Film_Industry_Performance[House], Film_Industry_Performance[Language])</f>
        <v>Punjabi</v>
      </c>
      <c r="C6" s="14">
        <f>COUNTIF(Film_Industry_Performance[Language], B6)</f>
        <v>10</v>
      </c>
      <c r="D6" s="10">
        <f>SUMIF(Film_Industry_Performance[Language], B6, Film_Industry_Performance[Budget (₹ Cr)])</f>
        <v>101.5</v>
      </c>
      <c r="E6" s="10">
        <f>SUMIF(Film_Industry_Performance[Language], B6, Film_Industry_Performance[Box Office (₹ Cr)])</f>
        <v>218.35</v>
      </c>
      <c r="F6" s="10">
        <f>SUMIF(Film_Industry_Performance[Language], B6, Film_Industry_Performance[OTT Rights (₹ Cr)])</f>
        <v>39.5</v>
      </c>
      <c r="G6" s="10">
        <f t="shared" si="1"/>
        <v>257.85</v>
      </c>
      <c r="H6" s="11">
        <f t="shared" si="2"/>
        <v>2.540394089</v>
      </c>
      <c r="I6" s="28">
        <f>COUNTIFS(Film_Industry_Performance[ROI (x)], "&gt;1", Film_Industry_Performance[Language], B6)/C6</f>
        <v>1</v>
      </c>
      <c r="J6" s="13">
        <f>AVERAGEIF(Film_Industry_Performance[Language], B6, Film_Industry_Performance[Critic Score])</f>
        <v>6.65</v>
      </c>
      <c r="K6" s="13">
        <f>AVERAGEIF(Film_Industry_Performance[Language], B6, Film_Industry_Performance[Audience Score])</f>
        <v>7.55</v>
      </c>
      <c r="L6" s="13">
        <f t="shared" si="3"/>
        <v>7.1</v>
      </c>
    </row>
    <row r="7" ht="22.5" customHeight="1">
      <c r="A7" s="26" t="s">
        <v>107</v>
      </c>
      <c r="B7" s="27" t="str">
        <f t="array" ref="B7">XLOOKUP(A7, Film_Industry_Performance[House], Film_Industry_Performance[Language])</f>
        <v>Kannada</v>
      </c>
      <c r="C7" s="14">
        <f>COUNTIF(Film_Industry_Performance[Language], B7)</f>
        <v>10</v>
      </c>
      <c r="D7" s="10">
        <f>SUMIF(Film_Industry_Performance[Language], B7, Film_Industry_Performance[Budget (₹ Cr)])</f>
        <v>357</v>
      </c>
      <c r="E7" s="10">
        <f>SUMIF(Film_Industry_Performance[Language], B7, Film_Industry_Performance[Box Office (₹ Cr)])</f>
        <v>1139</v>
      </c>
      <c r="F7" s="10">
        <f>SUMIF(Film_Industry_Performance[Language], B7, Film_Industry_Performance[OTT Rights (₹ Cr)])</f>
        <v>257</v>
      </c>
      <c r="G7" s="10">
        <f t="shared" si="1"/>
        <v>1396</v>
      </c>
      <c r="H7" s="11">
        <f t="shared" si="2"/>
        <v>3.910364146</v>
      </c>
      <c r="I7" s="28">
        <f>COUNTIFS(Film_Industry_Performance[ROI (x)], "&gt;1", Film_Industry_Performance[Language], B7)/C7</f>
        <v>0.9</v>
      </c>
      <c r="J7" s="13">
        <f>AVERAGEIF(Film_Industry_Performance[Language], B7, Film_Industry_Performance[Critic Score])</f>
        <v>6.8</v>
      </c>
      <c r="K7" s="13">
        <f>AVERAGEIF(Film_Industry_Performance[Language], B7, Film_Industry_Performance[Audience Score])</f>
        <v>7.42</v>
      </c>
      <c r="L7" s="13">
        <f t="shared" si="3"/>
        <v>7.11</v>
      </c>
    </row>
    <row r="8" ht="22.5" customHeight="1">
      <c r="A8" s="26" t="s">
        <v>119</v>
      </c>
      <c r="B8" s="27" t="str">
        <f t="array" ref="B8">XLOOKUP(A8, Film_Industry_Performance[House], Film_Industry_Performance[Language])</f>
        <v>Telugu</v>
      </c>
      <c r="C8" s="14">
        <f>COUNTIF(Film_Industry_Performance[Language], B8)</f>
        <v>10</v>
      </c>
      <c r="D8" s="10">
        <f>SUMIF(Film_Industry_Performance[Language], B8, Film_Industry_Performance[Budget (₹ Cr)])</f>
        <v>1516.6</v>
      </c>
      <c r="E8" s="10">
        <f>SUMIF(Film_Industry_Performance[Language], B8, Film_Industry_Performance[Box Office (₹ Cr)])</f>
        <v>1620.2</v>
      </c>
      <c r="F8" s="10">
        <f>SUMIF(Film_Industry_Performance[Language], B8, Film_Industry_Performance[OTT Rights (₹ Cr)])</f>
        <v>576</v>
      </c>
      <c r="G8" s="10">
        <f t="shared" si="1"/>
        <v>2196.2</v>
      </c>
      <c r="H8" s="11">
        <f t="shared" si="2"/>
        <v>1.448107609</v>
      </c>
      <c r="I8" s="28">
        <f>COUNTIFS(Film_Industry_Performance[ROI (x)], "&gt;1", Film_Industry_Performance[Language], B8)/C8</f>
        <v>0.8</v>
      </c>
      <c r="J8" s="13">
        <f>AVERAGEIF(Film_Industry_Performance[Language], B8, Film_Industry_Performance[Critic Score])</f>
        <v>6.63</v>
      </c>
      <c r="K8" s="13">
        <f>AVERAGEIF(Film_Industry_Performance[Language], B8, Film_Industry_Performance[Audience Score])</f>
        <v>7.44</v>
      </c>
      <c r="L8" s="13">
        <f t="shared" si="3"/>
        <v>7.035</v>
      </c>
    </row>
    <row r="9" ht="22.5" customHeight="1">
      <c r="A9" s="29" t="s">
        <v>142</v>
      </c>
      <c r="B9" s="30"/>
      <c r="C9" s="31">
        <f t="shared" ref="C9:G9" si="4">SUM(C2:C8)</f>
        <v>70</v>
      </c>
      <c r="D9" s="32">
        <f t="shared" si="4"/>
        <v>5611.7</v>
      </c>
      <c r="E9" s="32">
        <f t="shared" si="4"/>
        <v>11167.89</v>
      </c>
      <c r="F9" s="32">
        <f t="shared" si="4"/>
        <v>2679.7</v>
      </c>
      <c r="G9" s="32">
        <f t="shared" si="4"/>
        <v>13847.59</v>
      </c>
      <c r="H9" s="33">
        <f t="shared" si="2"/>
        <v>2.467628348</v>
      </c>
      <c r="I9" s="34">
        <f t="shared" ref="I9:L9" si="5">AVERAGE(I2:I8)</f>
        <v>0.9285714286</v>
      </c>
      <c r="J9" s="35">
        <f t="shared" si="5"/>
        <v>6.981428571</v>
      </c>
      <c r="K9" s="35">
        <f t="shared" si="5"/>
        <v>7.692857143</v>
      </c>
      <c r="L9" s="35">
        <f t="shared" si="5"/>
        <v>7.337142857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custom" allowBlank="1" showDropDown="1" sqref="C2:L9">
      <formula1>AND(ISNUMBER(C2),(NOT(OR(NOT(ISERROR(DATEVALUE(C2))), AND(ISNUMBER(C2), LEFT(CELL("format", C2))="D")))))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21.43"/>
    <col customWidth="1" min="3" max="3" width="23.29"/>
    <col customWidth="1" min="4" max="4" width="30.14"/>
    <col customWidth="1" min="5" max="5" width="33.57"/>
    <col customWidth="1" min="6" max="6" width="34.57"/>
    <col customWidth="1" min="7" max="7" width="16.0"/>
    <col customWidth="1" min="8" max="8" width="25.0"/>
  </cols>
  <sheetData>
    <row r="1" ht="22.5" customHeight="1">
      <c r="A1" s="36" t="s">
        <v>4</v>
      </c>
      <c r="B1" s="36" t="s">
        <v>143</v>
      </c>
      <c r="C1" s="36" t="s">
        <v>8</v>
      </c>
      <c r="D1" s="36" t="s">
        <v>11</v>
      </c>
      <c r="E1" s="36" t="s">
        <v>144</v>
      </c>
      <c r="F1" s="36" t="s">
        <v>145</v>
      </c>
      <c r="G1" s="36" t="s">
        <v>146</v>
      </c>
      <c r="H1" s="37" t="s">
        <v>147</v>
      </c>
    </row>
    <row r="2" ht="22.5" customHeight="1">
      <c r="A2" s="38" t="str">
        <f>IFERROR(__xludf.DUMMYFUNCTION("SORT(UNIQUE(ARRAYFORMULA(TRIM(FLATTEN(SPLIT(TEXTJOIN("","", TRUE, Film_Industry_Performance[Genre]), "",""))))))"),"Action")</f>
        <v>Action</v>
      </c>
      <c r="B2" s="39">
        <f>COUNTIF(Film_Industry_Performance[Genre], "*" &amp; A2 &amp; "*")</f>
        <v>26</v>
      </c>
      <c r="C2" s="39">
        <f>SUMIF(Film_Industry_Performance[Genre], "*" &amp; A2 &amp; "*", Film_Industry_Performance[Budget (₹ Cr)])</f>
        <v>3556.1</v>
      </c>
      <c r="D2" s="39">
        <f>SUMIF(Film_Industry_Performance[Genre], "*" &amp; A2 &amp; "*", Film_Industry_Performance[Total Revenue (₹ Cr)])</f>
        <v>6886.73</v>
      </c>
      <c r="E2" s="39">
        <f t="shared" ref="E2:E15" si="1">ROUND(D2 / B2, 2)</f>
        <v>264.87</v>
      </c>
      <c r="F2" s="40">
        <f t="shared" ref="F2:F15" si="2">ROUND((D2 - C2) / B2, 2)</f>
        <v>128.1</v>
      </c>
      <c r="G2" s="41" t="str">
        <f t="shared" ref="G2:G15" si="3">ROUND(D2/C2, 2) &amp; "x"</f>
        <v>1.94x</v>
      </c>
      <c r="H2" s="42">
        <f t="shared" ref="H2:H15" si="4">ROUND(STANDARDIZE(E2, AVERAGE(E$2:E$15), _xlfn.STDEV.P(E$2:E$15)), 3)</f>
        <v>0.136</v>
      </c>
    </row>
    <row r="3" ht="22.5" customHeight="1">
      <c r="A3" s="38" t="str">
        <f>IFERROR(__xludf.DUMMYFUNCTION("""COMPUTED_VALUE"""),"Biography")</f>
        <v>Biography</v>
      </c>
      <c r="B3" s="39">
        <f>COUNTIF(Film_Industry_Performance[Genre], "*" &amp; A3 &amp; "*")</f>
        <v>1</v>
      </c>
      <c r="C3" s="39">
        <f>SUMIF(Film_Industry_Performance[Genre], "*" &amp; A3 &amp; "*", Film_Industry_Performance[Budget (₹ Cr)])</f>
        <v>8</v>
      </c>
      <c r="D3" s="39">
        <f>SUMIF(Film_Industry_Performance[Genre], "*" &amp; A3 &amp; "*", Film_Industry_Performance[Total Revenue (₹ Cr)])</f>
        <v>17</v>
      </c>
      <c r="E3" s="39">
        <f t="shared" si="1"/>
        <v>17</v>
      </c>
      <c r="F3" s="39">
        <f t="shared" si="2"/>
        <v>9</v>
      </c>
      <c r="G3" s="41" t="str">
        <f t="shared" si="3"/>
        <v>2.13x</v>
      </c>
      <c r="H3" s="42">
        <f t="shared" si="4"/>
        <v>-1.178</v>
      </c>
    </row>
    <row r="4" ht="22.5" customHeight="1">
      <c r="A4" s="38" t="str">
        <f>IFERROR(__xludf.DUMMYFUNCTION("""COMPUTED_VALUE"""),"Comedy")</f>
        <v>Comedy</v>
      </c>
      <c r="B4" s="39">
        <f>COUNTIF(Film_Industry_Performance[Genre], "*" &amp; A4 &amp; "*")</f>
        <v>14</v>
      </c>
      <c r="C4" s="39">
        <f>SUMIF(Film_Industry_Performance[Genre], "*" &amp; A4 &amp; "*", Film_Industry_Performance[Budget (₹ Cr)])</f>
        <v>675.7</v>
      </c>
      <c r="D4" s="39">
        <f>SUMIF(Film_Industry_Performance[Genre], "*" &amp; A4 &amp; "*", Film_Industry_Performance[Total Revenue (₹ Cr)])</f>
        <v>1722.55</v>
      </c>
      <c r="E4" s="39">
        <f t="shared" si="1"/>
        <v>123.04</v>
      </c>
      <c r="F4" s="39">
        <f t="shared" si="2"/>
        <v>74.78</v>
      </c>
      <c r="G4" s="41" t="str">
        <f t="shared" si="3"/>
        <v>2.55x</v>
      </c>
      <c r="H4" s="42">
        <f t="shared" si="4"/>
        <v>-0.616</v>
      </c>
    </row>
    <row r="5" ht="22.5" customHeight="1">
      <c r="A5" s="38" t="str">
        <f>IFERROR(__xludf.DUMMYFUNCTION("""COMPUTED_VALUE"""),"Crime")</f>
        <v>Crime</v>
      </c>
      <c r="B5" s="39">
        <f>COUNTIF(Film_Industry_Performance[Genre], "*" &amp; A5 &amp; "*")</f>
        <v>5</v>
      </c>
      <c r="C5" s="39">
        <f>SUMIF(Film_Industry_Performance[Genre], "*" &amp; A5 &amp; "*", Film_Industry_Performance[Budget (₹ Cr)])</f>
        <v>204</v>
      </c>
      <c r="D5" s="39">
        <f>SUMIF(Film_Industry_Performance[Genre], "*" &amp; A5 &amp; "*", Film_Industry_Performance[Total Revenue (₹ Cr)])</f>
        <v>658</v>
      </c>
      <c r="E5" s="39">
        <f t="shared" si="1"/>
        <v>131.6</v>
      </c>
      <c r="F5" s="39">
        <f t="shared" si="2"/>
        <v>90.8</v>
      </c>
      <c r="G5" s="41" t="str">
        <f t="shared" si="3"/>
        <v>3.23x</v>
      </c>
      <c r="H5" s="42">
        <f t="shared" si="4"/>
        <v>-0.57</v>
      </c>
    </row>
    <row r="6" ht="22.5" customHeight="1">
      <c r="A6" s="38" t="str">
        <f>IFERROR(__xludf.DUMMYFUNCTION("""COMPUTED_VALUE"""),"Drama")</f>
        <v>Drama</v>
      </c>
      <c r="B6" s="39">
        <f>COUNTIF(Film_Industry_Performance[Genre], "*" &amp; A6 &amp; "*")</f>
        <v>23</v>
      </c>
      <c r="C6" s="39">
        <f>SUMIF(Film_Industry_Performance[Genre], "*" &amp; A6 &amp; "*", Film_Industry_Performance[Budget (₹ Cr)])</f>
        <v>956.4</v>
      </c>
      <c r="D6" s="39">
        <f>SUMIF(Film_Industry_Performance[Genre], "*" &amp; A6 &amp; "*", Film_Industry_Performance[Total Revenue (₹ Cr)])</f>
        <v>3064.24</v>
      </c>
      <c r="E6" s="39">
        <f t="shared" si="1"/>
        <v>133.23</v>
      </c>
      <c r="F6" s="39">
        <f t="shared" si="2"/>
        <v>91.65</v>
      </c>
      <c r="G6" s="41" t="str">
        <f t="shared" si="3"/>
        <v>3.2x</v>
      </c>
      <c r="H6" s="42">
        <f t="shared" si="4"/>
        <v>-0.562</v>
      </c>
    </row>
    <row r="7" ht="22.5" customHeight="1">
      <c r="A7" s="38" t="str">
        <f>IFERROR(__xludf.DUMMYFUNCTION("""COMPUTED_VALUE"""),"Epic")</f>
        <v>Epic</v>
      </c>
      <c r="B7" s="39">
        <f>COUNTIF(Film_Industry_Performance[Genre], "*" &amp; A7 &amp; "*")</f>
        <v>3</v>
      </c>
      <c r="C7" s="39">
        <f>SUMIF(Film_Industry_Performance[Genre], "*" &amp; A7 &amp; "*", Film_Industry_Performance[Budget (₹ Cr)])</f>
        <v>420.4</v>
      </c>
      <c r="D7" s="39">
        <f>SUMIF(Film_Industry_Performance[Genre], "*" &amp; A7 &amp; "*", Film_Industry_Performance[Total Revenue (₹ Cr)])</f>
        <v>1457.82</v>
      </c>
      <c r="E7" s="39">
        <f t="shared" si="1"/>
        <v>485.94</v>
      </c>
      <c r="F7" s="39">
        <f t="shared" si="2"/>
        <v>345.81</v>
      </c>
      <c r="G7" s="41" t="str">
        <f t="shared" si="3"/>
        <v>3.47x</v>
      </c>
      <c r="H7" s="42">
        <f t="shared" si="4"/>
        <v>1.307</v>
      </c>
    </row>
    <row r="8" ht="22.5" customHeight="1">
      <c r="A8" s="38" t="str">
        <f>IFERROR(__xludf.DUMMYFUNCTION("""COMPUTED_VALUE"""),"Family")</f>
        <v>Family</v>
      </c>
      <c r="B8" s="39">
        <f>COUNTIF(Film_Industry_Performance[Genre], "*" &amp; A8 &amp; "*")</f>
        <v>3</v>
      </c>
      <c r="C8" s="39">
        <f>SUMIF(Film_Industry_Performance[Genre], "*" &amp; A8 &amp; "*", Film_Industry_Performance[Budget (₹ Cr)])</f>
        <v>111</v>
      </c>
      <c r="D8" s="39">
        <f>SUMIF(Film_Industry_Performance[Genre], "*" &amp; A8 &amp; "*", Film_Industry_Performance[Total Revenue (₹ Cr)])</f>
        <v>460.09</v>
      </c>
      <c r="E8" s="39">
        <f t="shared" si="1"/>
        <v>153.36</v>
      </c>
      <c r="F8" s="39">
        <f t="shared" si="2"/>
        <v>116.36</v>
      </c>
      <c r="G8" s="41" t="str">
        <f t="shared" si="3"/>
        <v>4.14x</v>
      </c>
      <c r="H8" s="42">
        <f t="shared" si="4"/>
        <v>-0.455</v>
      </c>
    </row>
    <row r="9" ht="22.5" customHeight="1">
      <c r="A9" s="38" t="str">
        <f>IFERROR(__xludf.DUMMYFUNCTION("""COMPUTED_VALUE"""),"Fantasy")</f>
        <v>Fantasy</v>
      </c>
      <c r="B9" s="39">
        <f>COUNTIF(Film_Industry_Performance[Genre], "*" &amp; A9 &amp; "*")</f>
        <v>4</v>
      </c>
      <c r="C9" s="39">
        <f>SUMIF(Film_Industry_Performance[Genre], "*" &amp; A9 &amp; "*", Film_Industry_Performance[Budget (₹ Cr)])</f>
        <v>130</v>
      </c>
      <c r="D9" s="39">
        <f>SUMIF(Film_Industry_Performance[Genre], "*" &amp; A9 &amp; "*", Film_Industry_Performance[Total Revenue (₹ Cr)])</f>
        <v>679.1</v>
      </c>
      <c r="E9" s="39">
        <f t="shared" si="1"/>
        <v>169.78</v>
      </c>
      <c r="F9" s="39">
        <f t="shared" si="2"/>
        <v>137.28</v>
      </c>
      <c r="G9" s="41" t="str">
        <f t="shared" si="3"/>
        <v>5.22x</v>
      </c>
      <c r="H9" s="42">
        <f t="shared" si="4"/>
        <v>-0.368</v>
      </c>
    </row>
    <row r="10" ht="22.5" customHeight="1">
      <c r="A10" s="38" t="str">
        <f>IFERROR(__xludf.DUMMYFUNCTION("""COMPUTED_VALUE"""),"Historical")</f>
        <v>Historical</v>
      </c>
      <c r="B10" s="39">
        <f>COUNTIF(Film_Industry_Performance[Genre], "*" &amp; A10 &amp; "*")</f>
        <v>3</v>
      </c>
      <c r="C10" s="39">
        <f>SUMIF(Film_Industry_Performance[Genre], "*" &amp; A10 &amp; "*", Film_Industry_Performance[Budget (₹ Cr)])</f>
        <v>165.4</v>
      </c>
      <c r="D10" s="39">
        <f>SUMIF(Film_Industry_Performance[Genre], "*" &amp; A10 &amp; "*", Film_Industry_Performance[Total Revenue (₹ Cr)])</f>
        <v>965.2</v>
      </c>
      <c r="E10" s="39">
        <f t="shared" si="1"/>
        <v>321.73</v>
      </c>
      <c r="F10" s="39">
        <f t="shared" si="2"/>
        <v>266.6</v>
      </c>
      <c r="G10" s="41" t="str">
        <f t="shared" si="3"/>
        <v>5.84x</v>
      </c>
      <c r="H10" s="42">
        <f t="shared" si="4"/>
        <v>0.437</v>
      </c>
    </row>
    <row r="11" ht="22.5" customHeight="1">
      <c r="A11" s="38" t="str">
        <f>IFERROR(__xludf.DUMMYFUNCTION("""COMPUTED_VALUE"""),"Horror")</f>
        <v>Horror</v>
      </c>
      <c r="B11" s="39">
        <f>COUNTIF(Film_Industry_Performance[Genre], "*" &amp; A11 &amp; "*")</f>
        <v>5</v>
      </c>
      <c r="C11" s="39">
        <f>SUMIF(Film_Industry_Performance[Genre], "*" &amp; A11 &amp; "*", Film_Industry_Performance[Budget (₹ Cr)])</f>
        <v>356.8</v>
      </c>
      <c r="D11" s="39">
        <f>SUMIF(Film_Industry_Performance[Genre], "*" &amp; A11 &amp; "*", Film_Industry_Performance[Total Revenue (₹ Cr)])</f>
        <v>1081.4</v>
      </c>
      <c r="E11" s="39">
        <f t="shared" si="1"/>
        <v>216.28</v>
      </c>
      <c r="F11" s="39">
        <f t="shared" si="2"/>
        <v>144.92</v>
      </c>
      <c r="G11" s="41" t="str">
        <f t="shared" si="3"/>
        <v>3.03x</v>
      </c>
      <c r="H11" s="42">
        <f t="shared" si="4"/>
        <v>-0.122</v>
      </c>
    </row>
    <row r="12" ht="22.5" customHeight="1">
      <c r="A12" s="38" t="str">
        <f>IFERROR(__xludf.DUMMYFUNCTION("""COMPUTED_VALUE"""),"Romance")</f>
        <v>Romance</v>
      </c>
      <c r="B12" s="39">
        <f>COUNTIF(Film_Industry_Performance[Genre], "*" &amp; A12 &amp; "*")</f>
        <v>6</v>
      </c>
      <c r="C12" s="39">
        <f>SUMIF(Film_Industry_Performance[Genre], "*" &amp; A12 &amp; "*", Film_Industry_Performance[Budget (₹ Cr)])</f>
        <v>220.4</v>
      </c>
      <c r="D12" s="39">
        <f>SUMIF(Film_Industry_Performance[Genre], "*" &amp; A12 &amp; "*", Film_Industry_Performance[Total Revenue (₹ Cr)])</f>
        <v>1041.1</v>
      </c>
      <c r="E12" s="39">
        <f t="shared" si="1"/>
        <v>173.52</v>
      </c>
      <c r="F12" s="39">
        <f t="shared" si="2"/>
        <v>136.78</v>
      </c>
      <c r="G12" s="41" t="str">
        <f t="shared" si="3"/>
        <v>4.72x</v>
      </c>
      <c r="H12" s="42">
        <f t="shared" si="4"/>
        <v>-0.348</v>
      </c>
    </row>
    <row r="13" ht="22.5" customHeight="1">
      <c r="A13" s="38" t="str">
        <f>IFERROR(__xludf.DUMMYFUNCTION("""COMPUTED_VALUE"""),"Sci-Fi")</f>
        <v>Sci-Fi</v>
      </c>
      <c r="B13" s="39">
        <f>COUNTIF(Film_Industry_Performance[Genre], "*" &amp; A13 &amp; "*")</f>
        <v>3</v>
      </c>
      <c r="C13" s="39">
        <f>SUMIF(Film_Industry_Performance[Genre], "*" &amp; A13 &amp; "*", Film_Industry_Performance[Budget (₹ Cr)])</f>
        <v>260</v>
      </c>
      <c r="D13" s="39">
        <f>SUMIF(Film_Industry_Performance[Genre], "*" &amp; A13 &amp; "*", Film_Industry_Performance[Total Revenue (₹ Cr)])</f>
        <v>229</v>
      </c>
      <c r="E13" s="39">
        <f t="shared" si="1"/>
        <v>76.33</v>
      </c>
      <c r="F13" s="39">
        <f t="shared" si="2"/>
        <v>-10.33</v>
      </c>
      <c r="G13" s="41" t="str">
        <f t="shared" si="3"/>
        <v>0.88x</v>
      </c>
      <c r="H13" s="42">
        <f t="shared" si="4"/>
        <v>-0.863</v>
      </c>
    </row>
    <row r="14" ht="22.5" customHeight="1">
      <c r="A14" s="38" t="str">
        <f>IFERROR(__xludf.DUMMYFUNCTION("""COMPUTED_VALUE"""),"Spy")</f>
        <v>Spy</v>
      </c>
      <c r="B14" s="39">
        <f>COUNTIF(Film_Industry_Performance[Genre], "*" &amp; A14 &amp; "*")</f>
        <v>2</v>
      </c>
      <c r="C14" s="39">
        <f>SUMIF(Film_Industry_Performance[Genre], "*" &amp; A14 &amp; "*", Film_Industry_Performance[Budget (₹ Cr)])</f>
        <v>380</v>
      </c>
      <c r="D14" s="39">
        <f>SUMIF(Film_Industry_Performance[Genre], "*" &amp; A14 &amp; "*", Film_Industry_Performance[Total Revenue (₹ Cr)])</f>
        <v>1569.35</v>
      </c>
      <c r="E14" s="39">
        <f t="shared" si="1"/>
        <v>784.68</v>
      </c>
      <c r="F14" s="39">
        <f t="shared" si="2"/>
        <v>594.68</v>
      </c>
      <c r="G14" s="41" t="str">
        <f t="shared" si="3"/>
        <v>4.13x</v>
      </c>
      <c r="H14" s="42">
        <f t="shared" si="4"/>
        <v>2.89</v>
      </c>
    </row>
    <row r="15" ht="22.5" customHeight="1">
      <c r="A15" s="38" t="str">
        <f>IFERROR(__xludf.DUMMYFUNCTION("""COMPUTED_VALUE"""),"Thriller")</f>
        <v>Thriller</v>
      </c>
      <c r="B15" s="39">
        <f>COUNTIF(Film_Industry_Performance[Genre], "*" &amp; A15 &amp; "*")</f>
        <v>10</v>
      </c>
      <c r="C15" s="39">
        <f>SUMIF(Film_Industry_Performance[Genre], "*" &amp; A15 &amp; "*", Film_Industry_Performance[Budget (₹ Cr)])</f>
        <v>1084.5</v>
      </c>
      <c r="D15" s="39">
        <f>SUMIF(Film_Industry_Performance[Genre], "*" &amp; A15 &amp; "*", Film_Industry_Performance[Total Revenue (₹ Cr)])</f>
        <v>2980.45</v>
      </c>
      <c r="E15" s="39">
        <f t="shared" si="1"/>
        <v>298.05</v>
      </c>
      <c r="F15" s="39">
        <f t="shared" si="2"/>
        <v>189.6</v>
      </c>
      <c r="G15" s="41" t="str">
        <f t="shared" si="3"/>
        <v>2.75x</v>
      </c>
      <c r="H15" s="42">
        <f t="shared" si="4"/>
        <v>0.312</v>
      </c>
    </row>
  </sheetData>
  <dataValidations>
    <dataValidation type="custom" allowBlank="1" showDropDown="1" sqref="B2:F15">
      <formula1>AND(ISNUMBER(B2),(NOT(OR(NOT(ISERROR(DATEVALUE(B2))), AND(ISNUMBER(B2), LEFT(CELL("format", B2))="D")))))</formula1>
    </dataValidation>
    <dataValidation allowBlank="1" showDropDown="1" sqref="G2:G15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9456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12.0"/>
    <col customWidth="1" min="3" max="3" width="10.0"/>
    <col customWidth="1" min="4" max="4" width="13.86"/>
    <col customWidth="1" min="5" max="5" width="21.43"/>
    <col customWidth="1" min="6" max="6" width="20.86"/>
    <col customWidth="1" min="7" max="7" width="18.71"/>
    <col customWidth="1" min="8" max="8" width="20.14"/>
    <col customWidth="1" min="9" max="10" width="13.57"/>
    <col customWidth="1" min="11" max="26" width="8.71"/>
  </cols>
  <sheetData>
    <row r="1" ht="27.75" customHeight="1">
      <c r="A1" s="1" t="s">
        <v>148</v>
      </c>
      <c r="B1" s="1" t="s">
        <v>5</v>
      </c>
      <c r="C1" s="1" t="s">
        <v>7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11</v>
      </c>
      <c r="I1" s="1" t="s">
        <v>138</v>
      </c>
      <c r="J1" s="1" t="s">
        <v>15</v>
      </c>
    </row>
    <row r="2" ht="22.5" customHeight="1">
      <c r="A2" s="14">
        <f t="array" ref="A2:A13">SORT(UNIQUE(Film_Industry_Performance[Month]))</f>
        <v>1</v>
      </c>
      <c r="B2" s="8" t="str">
        <f t="array" ref="B2">XLOOKUP(A2, Film_Industry_Performance[Month], Film_Industry_Performance[Month Name])</f>
        <v>January</v>
      </c>
      <c r="C2" s="8" t="str">
        <f t="array" ref="C2">XLOOKUP(A2, Film_Industry_Performance[Month], Film_Industry_Performance[Quarter])</f>
        <v>Q1</v>
      </c>
      <c r="D2" s="14">
        <f>COUNTIF(Film_Industry_Performance[Month Name], B2)</f>
        <v>9</v>
      </c>
      <c r="E2" s="10">
        <f>SUMIFS(Film_Industry_Performance[Budget (₹ Cr)], Film_Industry_Performance[Month], A2)</f>
        <v>764.2</v>
      </c>
      <c r="F2" s="10">
        <f>SUMIFS(Film_Industry_Performance[Box Office (₹ Cr)], Film_Industry_Performance[Month], A2)</f>
        <v>971.88</v>
      </c>
      <c r="G2" s="10">
        <f>SUMIFS(Film_Industry_Performance[OTT Rights (₹ Cr)], Film_Industry_Performance[Month], A2)</f>
        <v>294</v>
      </c>
      <c r="H2" s="10">
        <f t="shared" ref="H2:H13" si="1">SUM(F2:G2)</f>
        <v>1265.88</v>
      </c>
      <c r="I2" s="11">
        <f>AVERAGEIF(Film_Industry_Performance[Month], A2, Film_Industry_Performance[ROI (x)])</f>
        <v>4.046332011</v>
      </c>
      <c r="J2" s="13">
        <f>AVERAGEIF(Film_Industry_Performance[Month], A2, Film_Industry_Performance[Avg Score])</f>
        <v>7.011111111</v>
      </c>
    </row>
    <row r="3" ht="22.5" customHeight="1">
      <c r="A3" s="14">
        <v>2.0</v>
      </c>
      <c r="B3" s="8" t="str">
        <f t="array" ref="B3">XLOOKUP(A3, Film_Industry_Performance[Month], Film_Industry_Performance[Month Name])</f>
        <v>February</v>
      </c>
      <c r="C3" s="8" t="str">
        <f t="array" ref="C3">XLOOKUP(A3, Film_Industry_Performance[Month], Film_Industry_Performance[Quarter])</f>
        <v>Q1</v>
      </c>
      <c r="D3" s="14">
        <f>COUNTIF(Film_Industry_Performance[Month Name], B3)</f>
        <v>7</v>
      </c>
      <c r="E3" s="10">
        <f>SUMIFS(Film_Industry_Performance[Budget (₹ Cr)], Film_Industry_Performance[Month], A3)</f>
        <v>559.9</v>
      </c>
      <c r="F3" s="10">
        <f>SUMIFS(Film_Industry_Performance[Box Office (₹ Cr)], Film_Industry_Performance[Month], A3)</f>
        <v>1504.1</v>
      </c>
      <c r="G3" s="10">
        <f>SUMIFS(Film_Industry_Performance[OTT Rights (₹ Cr)], Film_Industry_Performance[Month], A3)</f>
        <v>348</v>
      </c>
      <c r="H3" s="10">
        <f t="shared" si="1"/>
        <v>1852.1</v>
      </c>
      <c r="I3" s="11">
        <f>AVERAGEIF(Film_Industry_Performance[Month], A3, Film_Industry_Performance[ROI (x)])</f>
        <v>3.650689844</v>
      </c>
      <c r="J3" s="13">
        <f>AVERAGEIF(Film_Industry_Performance[Month], A3, Film_Industry_Performance[Avg Score])</f>
        <v>7.471428571</v>
      </c>
    </row>
    <row r="4" ht="22.5" customHeight="1">
      <c r="A4" s="14">
        <v>3.0</v>
      </c>
      <c r="B4" s="8" t="str">
        <f t="array" ref="B4">XLOOKUP(A4, Film_Industry_Performance[Month], Film_Industry_Performance[Month Name])</f>
        <v>March</v>
      </c>
      <c r="C4" s="8" t="str">
        <f t="array" ref="C4">XLOOKUP(A4, Film_Industry_Performance[Month], Film_Industry_Performance[Quarter])</f>
        <v>Q1</v>
      </c>
      <c r="D4" s="14">
        <f>COUNTIF(Film_Industry_Performance[Month Name], B4)</f>
        <v>3</v>
      </c>
      <c r="E4" s="10">
        <f>SUMIFS(Film_Industry_Performance[Budget (₹ Cr)], Film_Industry_Performance[Month], A4)</f>
        <v>284</v>
      </c>
      <c r="F4" s="10">
        <f>SUMIFS(Film_Industry_Performance[Box Office (₹ Cr)], Film_Industry_Performance[Month], A4)</f>
        <v>406.45</v>
      </c>
      <c r="G4" s="10">
        <f>SUMIFS(Film_Industry_Performance[OTT Rights (₹ Cr)], Film_Industry_Performance[Month], A4)</f>
        <v>119</v>
      </c>
      <c r="H4" s="10">
        <f t="shared" si="1"/>
        <v>525.45</v>
      </c>
      <c r="I4" s="11">
        <f>AVERAGEIF(Film_Industry_Performance[Month], A4, Film_Industry_Performance[ROI (x)])</f>
        <v>1.909027778</v>
      </c>
      <c r="J4" s="13">
        <f>AVERAGEIF(Film_Industry_Performance[Month], A4, Film_Industry_Performance[Avg Score])</f>
        <v>6.683333333</v>
      </c>
    </row>
    <row r="5" ht="22.5" customHeight="1">
      <c r="A5" s="14">
        <v>4.0</v>
      </c>
      <c r="B5" s="8" t="str">
        <f t="array" ref="B5">XLOOKUP(A5, Film_Industry_Performance[Month], Film_Industry_Performance[Month Name])</f>
        <v>April</v>
      </c>
      <c r="C5" s="8" t="str">
        <f t="array" ref="C5">XLOOKUP(A5, Film_Industry_Performance[Month], Film_Industry_Performance[Quarter])</f>
        <v>Q2</v>
      </c>
      <c r="D5" s="14">
        <f>COUNTIF(Film_Industry_Performance[Month Name], B5)</f>
        <v>7</v>
      </c>
      <c r="E5" s="10">
        <f>SUMIFS(Film_Industry_Performance[Budget (₹ Cr)], Film_Industry_Performance[Month], A5)</f>
        <v>355</v>
      </c>
      <c r="F5" s="10">
        <f>SUMIFS(Film_Industry_Performance[Box Office (₹ Cr)], Film_Industry_Performance[Month], A5)</f>
        <v>620.2</v>
      </c>
      <c r="G5" s="10">
        <f>SUMIFS(Film_Industry_Performance[OTT Rights (₹ Cr)], Film_Industry_Performance[Month], A5)</f>
        <v>160</v>
      </c>
      <c r="H5" s="10">
        <f t="shared" si="1"/>
        <v>780.2</v>
      </c>
      <c r="I5" s="11">
        <f>AVERAGEIF(Film_Industry_Performance[Month], A5, Film_Industry_Performance[ROI (x)])</f>
        <v>4.999338624</v>
      </c>
      <c r="J5" s="13">
        <f>AVERAGEIF(Film_Industry_Performance[Month], A5, Film_Industry_Performance[Avg Score])</f>
        <v>7.385714286</v>
      </c>
    </row>
    <row r="6" ht="22.5" customHeight="1">
      <c r="A6" s="14">
        <v>5.0</v>
      </c>
      <c r="B6" s="8" t="str">
        <f t="array" ref="B6">XLOOKUP(A6, Film_Industry_Performance[Month], Film_Industry_Performance[Month Name])</f>
        <v>May</v>
      </c>
      <c r="C6" s="8" t="str">
        <f t="array" ref="C6">XLOOKUP(A6, Film_Industry_Performance[Month], Film_Industry_Performance[Quarter])</f>
        <v>Q2</v>
      </c>
      <c r="D6" s="14">
        <f>COUNTIF(Film_Industry_Performance[Month Name], B6)</f>
        <v>3</v>
      </c>
      <c r="E6" s="10">
        <f>SUMIFS(Film_Industry_Performance[Budget (₹ Cr)], Film_Industry_Performance[Month], A6)</f>
        <v>90</v>
      </c>
      <c r="F6" s="10">
        <f>SUMIFS(Film_Industry_Performance[Box Office (₹ Cr)], Film_Industry_Performance[Month], A6)</f>
        <v>209.9</v>
      </c>
      <c r="G6" s="10">
        <f>SUMIFS(Film_Industry_Performance[OTT Rights (₹ Cr)], Film_Industry_Performance[Month], A6)</f>
        <v>64</v>
      </c>
      <c r="H6" s="10">
        <f t="shared" si="1"/>
        <v>273.9</v>
      </c>
      <c r="I6" s="11">
        <f>AVERAGEIF(Film_Industry_Performance[Month], A6, Film_Industry_Performance[ROI (x)])</f>
        <v>4.158571429</v>
      </c>
      <c r="J6" s="13">
        <f>AVERAGEIF(Film_Industry_Performance[Month], A6, Film_Industry_Performance[Avg Score])</f>
        <v>7.5</v>
      </c>
    </row>
    <row r="7" ht="22.5" customHeight="1">
      <c r="A7" s="14">
        <v>6.0</v>
      </c>
      <c r="B7" s="8" t="str">
        <f t="array" ref="B7">XLOOKUP(A7, Film_Industry_Performance[Month], Film_Industry_Performance[Month Name])</f>
        <v>June</v>
      </c>
      <c r="C7" s="8" t="str">
        <f t="array" ref="C7">XLOOKUP(A7, Film_Industry_Performance[Month], Film_Industry_Performance[Quarter])</f>
        <v>Q2</v>
      </c>
      <c r="D7" s="14">
        <f>COUNTIF(Film_Industry_Performance[Month Name], B7)</f>
        <v>4</v>
      </c>
      <c r="E7" s="10">
        <f>SUMIFS(Film_Industry_Performance[Budget (₹ Cr)], Film_Industry_Performance[Month], A7)</f>
        <v>492.5</v>
      </c>
      <c r="F7" s="10">
        <f>SUMIFS(Film_Industry_Performance[Box Office (₹ Cr)], Film_Industry_Performance[Month], A7)</f>
        <v>430.9</v>
      </c>
      <c r="G7" s="10">
        <f>SUMIFS(Film_Industry_Performance[OTT Rights (₹ Cr)], Film_Industry_Performance[Month], A7)</f>
        <v>219.5</v>
      </c>
      <c r="H7" s="10">
        <f t="shared" si="1"/>
        <v>650.4</v>
      </c>
      <c r="I7" s="11">
        <f>AVERAGEIF(Film_Industry_Performance[Month], A7, Film_Industry_Performance[ROI (x)])</f>
        <v>4.545111111</v>
      </c>
      <c r="J7" s="13">
        <f>AVERAGEIF(Film_Industry_Performance[Month], A7, Film_Industry_Performance[Avg Score])</f>
        <v>6.425</v>
      </c>
    </row>
    <row r="8" ht="22.5" customHeight="1">
      <c r="A8" s="14">
        <v>7.0</v>
      </c>
      <c r="B8" s="8" t="str">
        <f t="array" ref="B8">XLOOKUP(A8, Film_Industry_Performance[Month], Film_Industry_Performance[Month Name])</f>
        <v>July</v>
      </c>
      <c r="C8" s="8" t="str">
        <f t="array" ref="C8">XLOOKUP(A8, Film_Industry_Performance[Month], Film_Industry_Performance[Quarter])</f>
        <v>Q3</v>
      </c>
      <c r="D8" s="14">
        <f>COUNTIF(Film_Industry_Performance[Month Name], B8)</f>
        <v>7</v>
      </c>
      <c r="E8" s="10">
        <f>SUMIFS(Film_Industry_Performance[Budget (₹ Cr)], Film_Industry_Performance[Month], A8)</f>
        <v>527.4</v>
      </c>
      <c r="F8" s="10">
        <f>SUMIFS(Film_Industry_Performance[Box Office (₹ Cr)], Film_Industry_Performance[Month], A8)</f>
        <v>1362.82</v>
      </c>
      <c r="G8" s="10">
        <f>SUMIFS(Film_Industry_Performance[OTT Rights (₹ Cr)], Film_Industry_Performance[Month], A8)</f>
        <v>205</v>
      </c>
      <c r="H8" s="10">
        <f t="shared" si="1"/>
        <v>1567.82</v>
      </c>
      <c r="I8" s="11">
        <f>AVERAGEIF(Film_Industry_Performance[Month], A8, Film_Industry_Performance[ROI (x)])</f>
        <v>6.051876741</v>
      </c>
      <c r="J8" s="13">
        <f>AVERAGEIF(Film_Industry_Performance[Month], A8, Film_Industry_Performance[Avg Score])</f>
        <v>7.264285714</v>
      </c>
    </row>
    <row r="9" ht="22.5" customHeight="1">
      <c r="A9" s="14">
        <v>8.0</v>
      </c>
      <c r="B9" s="8" t="str">
        <f t="array" ref="B9">XLOOKUP(A9, Film_Industry_Performance[Month], Film_Industry_Performance[Month Name])</f>
        <v>August</v>
      </c>
      <c r="C9" s="8" t="str">
        <f t="array" ref="C9">XLOOKUP(A9, Film_Industry_Performance[Month], Film_Industry_Performance[Quarter])</f>
        <v>Q3</v>
      </c>
      <c r="D9" s="14">
        <f>COUNTIF(Film_Industry_Performance[Month Name], B9)</f>
        <v>6</v>
      </c>
      <c r="E9" s="10">
        <f>SUMIFS(Film_Industry_Performance[Budget (₹ Cr)], Film_Industry_Performance[Month], A9)</f>
        <v>854</v>
      </c>
      <c r="F9" s="10">
        <f>SUMIFS(Film_Industry_Performance[Box Office (₹ Cr)], Film_Industry_Performance[Month], A9)</f>
        <v>1265.1</v>
      </c>
      <c r="G9" s="10">
        <f>SUMIFS(Film_Industry_Performance[OTT Rights (₹ Cr)], Film_Industry_Performance[Month], A9)</f>
        <v>361.5</v>
      </c>
      <c r="H9" s="10">
        <f t="shared" si="1"/>
        <v>1626.6</v>
      </c>
      <c r="I9" s="11">
        <f>AVERAGEIF(Film_Industry_Performance[Month], A9, Film_Industry_Performance[ROI (x)])</f>
        <v>3.457861111</v>
      </c>
      <c r="J9" s="13">
        <f>AVERAGEIF(Film_Industry_Performance[Month], A9, Film_Industry_Performance[Avg Score])</f>
        <v>6.825</v>
      </c>
    </row>
    <row r="10" ht="22.5" customHeight="1">
      <c r="A10" s="14">
        <v>9.0</v>
      </c>
      <c r="B10" s="8" t="str">
        <f t="array" ref="B10">XLOOKUP(A10, Film_Industry_Performance[Month], Film_Industry_Performance[Month Name])</f>
        <v>September</v>
      </c>
      <c r="C10" s="8" t="str">
        <f t="array" ref="C10">XLOOKUP(A10, Film_Industry_Performance[Month], Film_Industry_Performance[Quarter])</f>
        <v>Q3</v>
      </c>
      <c r="D10" s="14">
        <f>COUNTIF(Film_Industry_Performance[Month Name], B10)</f>
        <v>7</v>
      </c>
      <c r="E10" s="10">
        <f>SUMIFS(Film_Industry_Performance[Budget (₹ Cr)], Film_Industry_Performance[Month], A10)</f>
        <v>837.7</v>
      </c>
      <c r="F10" s="10">
        <f>SUMIFS(Film_Industry_Performance[Box Office (₹ Cr)], Film_Industry_Performance[Month], A10)</f>
        <v>1289.4</v>
      </c>
      <c r="G10" s="10">
        <f>SUMIFS(Film_Industry_Performance[OTT Rights (₹ Cr)], Film_Industry_Performance[Month], A10)</f>
        <v>331.7</v>
      </c>
      <c r="H10" s="10">
        <f t="shared" si="1"/>
        <v>1621.1</v>
      </c>
      <c r="I10" s="11">
        <f>AVERAGEIF(Film_Industry_Performance[Month], A10, Film_Industry_Performance[ROI (x)])</f>
        <v>2.066099399</v>
      </c>
      <c r="J10" s="13">
        <f>AVERAGEIF(Film_Industry_Performance[Month], A10, Film_Industry_Performance[Avg Score])</f>
        <v>7.735714286</v>
      </c>
    </row>
    <row r="11" ht="22.5" customHeight="1">
      <c r="A11" s="14">
        <v>10.0</v>
      </c>
      <c r="B11" s="8" t="str">
        <f t="array" ref="B11">XLOOKUP(A11, Film_Industry_Performance[Month], Film_Industry_Performance[Month Name])</f>
        <v>October</v>
      </c>
      <c r="C11" s="8" t="str">
        <f t="array" ref="C11">XLOOKUP(A11, Film_Industry_Performance[Month], Film_Industry_Performance[Quarter])</f>
        <v>Q4</v>
      </c>
      <c r="D11" s="14">
        <f>COUNTIF(Film_Industry_Performance[Month Name], B11)</f>
        <v>6</v>
      </c>
      <c r="E11" s="10">
        <f>SUMIFS(Film_Industry_Performance[Budget (₹ Cr)], Film_Industry_Performance[Month], A11)</f>
        <v>233</v>
      </c>
      <c r="F11" s="10">
        <f>SUMIFS(Film_Industry_Performance[Box Office (₹ Cr)], Film_Industry_Performance[Month], A11)</f>
        <v>1166.3</v>
      </c>
      <c r="G11" s="10">
        <f>SUMIFS(Film_Industry_Performance[OTT Rights (₹ Cr)], Film_Industry_Performance[Month], A11)</f>
        <v>192</v>
      </c>
      <c r="H11" s="10">
        <f t="shared" si="1"/>
        <v>1358.3</v>
      </c>
      <c r="I11" s="11">
        <f>AVERAGEIF(Film_Industry_Performance[Month], A11, Film_Industry_Performance[ROI (x)])</f>
        <v>4.238148148</v>
      </c>
      <c r="J11" s="13">
        <f>AVERAGEIF(Film_Industry_Performance[Month], A11, Film_Industry_Performance[Avg Score])</f>
        <v>7.933333333</v>
      </c>
    </row>
    <row r="12" ht="22.5" customHeight="1">
      <c r="A12" s="14">
        <v>11.0</v>
      </c>
      <c r="B12" s="8" t="str">
        <f t="array" ref="B12">XLOOKUP(A12, Film_Industry_Performance[Month], Film_Industry_Performance[Month Name])</f>
        <v>November</v>
      </c>
      <c r="C12" s="8" t="str">
        <f t="array" ref="C12">XLOOKUP(A12, Film_Industry_Performance[Month], Film_Industry_Performance[Quarter])</f>
        <v>Q4</v>
      </c>
      <c r="D12" s="14">
        <f>COUNTIF(Film_Industry_Performance[Month Name], B12)</f>
        <v>2</v>
      </c>
      <c r="E12" s="10">
        <f>SUMIFS(Film_Industry_Performance[Budget (₹ Cr)], Film_Industry_Performance[Month], A12)</f>
        <v>20</v>
      </c>
      <c r="F12" s="10">
        <f>SUMIFS(Film_Industry_Performance[Box Office (₹ Cr)], Film_Industry_Performance[Month], A12)</f>
        <v>34</v>
      </c>
      <c r="G12" s="10">
        <f>SUMIFS(Film_Industry_Performance[OTT Rights (₹ Cr)], Film_Industry_Performance[Month], A12)</f>
        <v>12</v>
      </c>
      <c r="H12" s="10">
        <f t="shared" si="1"/>
        <v>46</v>
      </c>
      <c r="I12" s="11">
        <f>AVERAGEIF(Film_Industry_Performance[Month], A12, Film_Industry_Performance[ROI (x)])</f>
        <v>2.125</v>
      </c>
      <c r="J12" s="13">
        <f>AVERAGEIF(Film_Industry_Performance[Month], A12, Film_Industry_Performance[Avg Score])</f>
        <v>7.1</v>
      </c>
    </row>
    <row r="13" ht="22.5" customHeight="1">
      <c r="A13" s="40">
        <v>12.0</v>
      </c>
      <c r="B13" s="8" t="str">
        <f t="array" ref="B13">XLOOKUP(A13, Film_Industry_Performance[Month], Film_Industry_Performance[Month Name])</f>
        <v>December</v>
      </c>
      <c r="C13" s="8" t="str">
        <f t="array" ref="C13">XLOOKUP(A13, Film_Industry_Performance[Month], Film_Industry_Performance[Quarter])</f>
        <v>Q4</v>
      </c>
      <c r="D13" s="14">
        <f>COUNTIF(Film_Industry_Performance[Month Name], B13)</f>
        <v>9</v>
      </c>
      <c r="E13" s="10">
        <f>SUMIFS(Film_Industry_Performance[Budget (₹ Cr)], Film_Industry_Performance[Month], A13)</f>
        <v>594</v>
      </c>
      <c r="F13" s="10">
        <f>SUMIFS(Film_Industry_Performance[Box Office (₹ Cr)], Film_Industry_Performance[Month], A13)</f>
        <v>1906.84</v>
      </c>
      <c r="G13" s="10">
        <f>SUMIFS(Film_Industry_Performance[OTT Rights (₹ Cr)], Film_Industry_Performance[Month], A13)</f>
        <v>373</v>
      </c>
      <c r="H13" s="10">
        <f t="shared" si="1"/>
        <v>2279.84</v>
      </c>
      <c r="I13" s="11">
        <f>AVERAGEIF(Film_Industry_Performance[Month], A13, Film_Industry_Performance[ROI (x)])</f>
        <v>3.159304938</v>
      </c>
      <c r="J13" s="13">
        <f>AVERAGEIF(Film_Industry_Performance[Month], A13, Film_Industry_Performance[Avg Score])</f>
        <v>7.833333333</v>
      </c>
    </row>
    <row r="14" ht="22.5" customHeight="1">
      <c r="A14" s="40"/>
      <c r="B14" s="27" t="s">
        <v>149</v>
      </c>
      <c r="C14" s="27"/>
      <c r="D14" s="14">
        <f t="shared" ref="D14:H14" si="2">SUM(D2:D13)</f>
        <v>70</v>
      </c>
      <c r="E14" s="10">
        <f t="shared" si="2"/>
        <v>5611.7</v>
      </c>
      <c r="F14" s="10">
        <f t="shared" si="2"/>
        <v>11167.89</v>
      </c>
      <c r="G14" s="10">
        <f t="shared" si="2"/>
        <v>2679.7</v>
      </c>
      <c r="H14" s="10">
        <f t="shared" si="2"/>
        <v>13847.59</v>
      </c>
      <c r="I14" s="11">
        <f t="shared" ref="I14:J14" si="3">AVERAGE(I2:I13)</f>
        <v>3.700613428</v>
      </c>
      <c r="J14" s="13">
        <f t="shared" si="3"/>
        <v>7.264021164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custom" allowBlank="1" showDropDown="1" sqref="A2:A14 D2:J14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213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20.0"/>
    <col customWidth="1" min="3" max="3" width="18.43"/>
    <col customWidth="1" min="4" max="4" width="21.43"/>
    <col customWidth="1" min="5" max="5" width="20.86"/>
    <col customWidth="1" min="6" max="6" width="18.71"/>
    <col customWidth="1" min="7" max="7" width="20.14"/>
    <col customWidth="1" min="8" max="8" width="13.57"/>
    <col customWidth="1" min="9" max="9" width="17.14"/>
    <col customWidth="1" min="10" max="10" width="13.57"/>
    <col customWidth="1" min="11" max="11" width="21.0"/>
    <col customWidth="1" min="12" max="26" width="8.71"/>
  </cols>
  <sheetData>
    <row r="1" ht="27.75" customHeight="1">
      <c r="A1" s="1" t="s">
        <v>7</v>
      </c>
      <c r="B1" s="1" t="s">
        <v>150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11</v>
      </c>
      <c r="H1" s="1" t="s">
        <v>138</v>
      </c>
      <c r="I1" s="1" t="s">
        <v>139</v>
      </c>
      <c r="J1" s="1" t="s">
        <v>15</v>
      </c>
      <c r="K1" s="1" t="s">
        <v>151</v>
      </c>
    </row>
    <row r="2" ht="22.5" customHeight="1">
      <c r="A2" s="8" t="str">
        <f t="array" ref="A2:A5">SORT(UNIQUE(Film_Industry_Performance[Quarter]))</f>
        <v>Q1</v>
      </c>
      <c r="B2" s="26" t="str">
        <f t="shared" ref="B2:B5" si="1">SWITCH(A2, "Q1", "Jan-Mar", "Q2", "Apr-Jun", "Q3", "Jul-Sep", "Q4", "Oct-Dec", "Invalid Quarter")</f>
        <v>Jan-Mar</v>
      </c>
      <c r="C2" s="27">
        <f>COUNTIF(Film_Industry_Performance[Quarter], A2)</f>
        <v>19</v>
      </c>
      <c r="D2" s="10">
        <f>SUMIFS(Film_Industry_Performance[Budget (₹ Cr)], Film_Industry_Performance[Quarter], A2)</f>
        <v>1608.1</v>
      </c>
      <c r="E2" s="10">
        <f>SUMIFS(Film_Industry_Performance[Box Office (₹ Cr)], Film_Industry_Performance[Quarter], A2)</f>
        <v>2882.43</v>
      </c>
      <c r="F2" s="10">
        <f>SUMIFS(Film_Industry_Performance[OTT Rights (₹ Cr)], Film_Industry_Performance[Quarter], A2)</f>
        <v>761</v>
      </c>
      <c r="G2" s="10">
        <f t="shared" ref="G2:G5" si="2">SUM(E2:F2)</f>
        <v>3643.43</v>
      </c>
      <c r="H2" s="11">
        <f>AVERAGEIF(Film_Industry_Performance[Quarter], A2, Film_Industry_Performance[ROI (x)])</f>
        <v>3.563100018</v>
      </c>
      <c r="I2" s="28">
        <f>COUNTIFS(Film_Industry_Performance[ROI (x)], "&gt;1", Film_Industry_Performance[Quarter], A2)/C2</f>
        <v>0.9473684211</v>
      </c>
      <c r="J2" s="13">
        <f>AVERAGEIF(Film_Industry_Performance[Quarter], A2, Film_Industry_Performance[Avg Score])</f>
        <v>7.128947368</v>
      </c>
      <c r="K2" s="28">
        <f>G2/SUM(G2:G5)</f>
        <v>0.2631093208</v>
      </c>
    </row>
    <row r="3" ht="22.5" customHeight="1">
      <c r="A3" s="8" t="s">
        <v>152</v>
      </c>
      <c r="B3" s="26" t="str">
        <f t="shared" si="1"/>
        <v>Apr-Jun</v>
      </c>
      <c r="C3" s="27">
        <f>COUNTIF(Film_Industry_Performance[Quarter], A3)</f>
        <v>14</v>
      </c>
      <c r="D3" s="10">
        <f>SUMIFS(Film_Industry_Performance[Budget (₹ Cr)], Film_Industry_Performance[Quarter], A3)</f>
        <v>937.5</v>
      </c>
      <c r="E3" s="10">
        <f>SUMIFS(Film_Industry_Performance[Box Office (₹ Cr)], Film_Industry_Performance[Quarter], A3)</f>
        <v>1261</v>
      </c>
      <c r="F3" s="10">
        <f>SUMIFS(Film_Industry_Performance[OTT Rights (₹ Cr)], Film_Industry_Performance[Quarter], A3)</f>
        <v>443.5</v>
      </c>
      <c r="G3" s="10">
        <f t="shared" si="2"/>
        <v>1704.5</v>
      </c>
      <c r="H3" s="11">
        <f>AVERAGEIF(Film_Industry_Performance[Quarter], A3, Film_Industry_Performance[ROI (x)])</f>
        <v>4.689394936</v>
      </c>
      <c r="I3" s="28">
        <f>COUNTIFS(Film_Industry_Performance[ROI (x)], "&gt;1", Film_Industry_Performance[Quarter], A3)/C3</f>
        <v>0.9285714286</v>
      </c>
      <c r="J3" s="13">
        <f>AVERAGEIF(Film_Industry_Performance[Quarter], A3, Film_Industry_Performance[Avg Score])</f>
        <v>7.135714286</v>
      </c>
      <c r="K3" s="28">
        <f>G3/SUM(G2:G5)</f>
        <v>0.1230900106</v>
      </c>
    </row>
    <row r="4" ht="22.5" customHeight="1">
      <c r="A4" s="8" t="s">
        <v>153</v>
      </c>
      <c r="B4" s="26" t="str">
        <f t="shared" si="1"/>
        <v>Jul-Sep</v>
      </c>
      <c r="C4" s="27">
        <f>COUNTIF(Film_Industry_Performance[Quarter], A4)</f>
        <v>20</v>
      </c>
      <c r="D4" s="10">
        <f>SUMIFS(Film_Industry_Performance[Budget (₹ Cr)], Film_Industry_Performance[Quarter], A4)</f>
        <v>2219.1</v>
      </c>
      <c r="E4" s="10">
        <f>SUMIFS(Film_Industry_Performance[Box Office (₹ Cr)], Film_Industry_Performance[Quarter], A4)</f>
        <v>3917.32</v>
      </c>
      <c r="F4" s="10">
        <f>SUMIFS(Film_Industry_Performance[OTT Rights (₹ Cr)], Film_Industry_Performance[Quarter], A4)</f>
        <v>898.2</v>
      </c>
      <c r="G4" s="10">
        <f t="shared" si="2"/>
        <v>4815.52</v>
      </c>
      <c r="H4" s="11">
        <f>AVERAGEIF(Film_Industry_Performance[Quarter], A4, Film_Industry_Performance[ROI (x)])</f>
        <v>3.878649982</v>
      </c>
      <c r="I4" s="28">
        <f>COUNTIFS(Film_Industry_Performance[ROI (x)], "&gt;1", Film_Industry_Performance[Quarter], A4)/C4</f>
        <v>0.9</v>
      </c>
      <c r="J4" s="13">
        <f>AVERAGEIF(Film_Industry_Performance[Quarter], A4, Film_Industry_Performance[Avg Score])</f>
        <v>7.2975</v>
      </c>
      <c r="K4" s="28">
        <f>G4/SUM(G2:G5)</f>
        <v>0.347751486</v>
      </c>
    </row>
    <row r="5" ht="22.5" customHeight="1">
      <c r="A5" s="8" t="s">
        <v>154</v>
      </c>
      <c r="B5" s="26" t="str">
        <f t="shared" si="1"/>
        <v>Oct-Dec</v>
      </c>
      <c r="C5" s="27">
        <f>COUNTIF(Film_Industry_Performance[Quarter], A5)</f>
        <v>17</v>
      </c>
      <c r="D5" s="10">
        <f>SUMIFS(Film_Industry_Performance[Budget (₹ Cr)], Film_Industry_Performance[Quarter], A5)</f>
        <v>847</v>
      </c>
      <c r="E5" s="10">
        <f>SUMIFS(Film_Industry_Performance[Box Office (₹ Cr)], Film_Industry_Performance[Quarter], A5)</f>
        <v>3107.14</v>
      </c>
      <c r="F5" s="10">
        <f>SUMIFS(Film_Industry_Performance[OTT Rights (₹ Cr)], Film_Industry_Performance[Quarter], A5)</f>
        <v>577</v>
      </c>
      <c r="G5" s="10">
        <f t="shared" si="2"/>
        <v>3684.14</v>
      </c>
      <c r="H5" s="11">
        <f>AVERAGEIF(Film_Industry_Performance[Quarter], A5, Film_Industry_Performance[ROI (x)])</f>
        <v>3.418390196</v>
      </c>
      <c r="I5" s="28">
        <f>COUNTIFS(Film_Industry_Performance[ROI (x)], "&gt;1", Film_Industry_Performance[Quarter], A5)/C5</f>
        <v>0.9411764706</v>
      </c>
      <c r="J5" s="13">
        <f>AVERAGEIF(Film_Industry_Performance[Quarter], A5, Film_Industry_Performance[Avg Score])</f>
        <v>7.782352941</v>
      </c>
      <c r="K5" s="28">
        <f>G5/SUM(G2:G5)</f>
        <v>0.2660491826</v>
      </c>
    </row>
    <row r="6" ht="22.5" customHeight="1">
      <c r="A6" s="43" t="s">
        <v>155</v>
      </c>
      <c r="B6" s="43"/>
      <c r="C6" s="43">
        <f>SUM(C2:C5)</f>
        <v>70</v>
      </c>
      <c r="D6" s="44">
        <f>SUM(Quaterly_Film_Performance[Total Budget (₹ Cr)])</f>
        <v>5611.7</v>
      </c>
      <c r="E6" s="44">
        <f>SUM(Quaterly_Film_Performance[Total Box Office (₹ Cr)])</f>
        <v>11167.89</v>
      </c>
      <c r="F6" s="44">
        <f>SUM(Quaterly_Film_Performance[Total OTT (₹ Cr)])</f>
        <v>2679.7</v>
      </c>
      <c r="G6" s="44">
        <f>SUM(Quaterly_Film_Performance[Total Revenue (₹ Cr)])</f>
        <v>13847.59</v>
      </c>
      <c r="H6" s="44" t="str">
        <f>ROUND(AVERAGE(H2:H5), 2) &amp; "x"</f>
        <v>3.89x</v>
      </c>
      <c r="I6" s="45">
        <f>AVERAGE(I2:I5)</f>
        <v>0.9292790801</v>
      </c>
      <c r="J6" s="44">
        <f>ROUND(AVERAGE(Quaterly_Film_Performance[Avg Score]), 2)</f>
        <v>7.34</v>
      </c>
      <c r="K6" s="45">
        <f>SUM(K2:K5)</f>
        <v>1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custom" allowBlank="1" showDropDown="1" sqref="D2:K5">
      <formula1>AND(ISNUMBER(D2),(NOT(OR(NOT(ISERROR(DATEVALUE(D2))), AND(ISNUMBER(D2), LEFT(CELL("format", D2))="D")))))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008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6.14"/>
    <col customWidth="1" min="3" max="3" width="16.86"/>
    <col customWidth="1" min="4" max="4" width="12.71"/>
    <col customWidth="1" min="5" max="5" width="15.29"/>
    <col customWidth="1" min="6" max="6" width="18.57"/>
    <col customWidth="1" min="7" max="7" width="27.0"/>
    <col customWidth="1" min="8" max="8" width="24.43"/>
    <col customWidth="1" min="9" max="9" width="19.86"/>
    <col customWidth="1" min="10" max="10" width="24.14"/>
    <col customWidth="1" min="11" max="11" width="18.86"/>
    <col customWidth="1" min="12" max="12" width="19.14"/>
    <col customWidth="1" min="13" max="13" width="24.0"/>
    <col customWidth="1" min="14" max="14" width="11.29"/>
    <col customWidth="1" min="15" max="15" width="14.29"/>
    <col customWidth="1" min="16" max="16" width="13.57"/>
    <col customWidth="1" min="17" max="17" width="23.29"/>
    <col customWidth="1" min="18" max="26" width="8.71"/>
  </cols>
  <sheetData>
    <row r="1" ht="27.75" customHeight="1">
      <c r="A1" s="1" t="s">
        <v>1</v>
      </c>
      <c r="B1" s="1" t="s">
        <v>2</v>
      </c>
      <c r="C1" s="1" t="s">
        <v>7</v>
      </c>
      <c r="D1" s="1" t="s">
        <v>13</v>
      </c>
      <c r="E1" s="1" t="s">
        <v>14</v>
      </c>
      <c r="F1" s="1" t="s">
        <v>15</v>
      </c>
      <c r="G1" s="1" t="s">
        <v>8</v>
      </c>
      <c r="H1" s="46" t="s">
        <v>11</v>
      </c>
      <c r="I1" s="47" t="s">
        <v>146</v>
      </c>
      <c r="J1" s="1" t="s">
        <v>156</v>
      </c>
    </row>
    <row r="2" ht="22.5" customHeight="1">
      <c r="A2" s="48" t="str">
        <f t="array" ref="A2:I71">SORT(CHOOSECOLS(Film_Industry_Performance[], 2, 3, 8, 14, 15, 16, 9, 12, 13), 6, FALSE)</f>
        <v>Kantara: Chapter 1</v>
      </c>
      <c r="B2" s="49" t="s">
        <v>107</v>
      </c>
      <c r="C2" s="50" t="s">
        <v>154</v>
      </c>
      <c r="D2" s="51">
        <v>9.2</v>
      </c>
      <c r="E2" s="51">
        <v>9.6</v>
      </c>
      <c r="F2" s="51">
        <v>9.399999999999999</v>
      </c>
      <c r="G2" s="52">
        <v>125.0</v>
      </c>
      <c r="H2" s="52">
        <v>955.0</v>
      </c>
      <c r="I2" s="53">
        <v>7.64</v>
      </c>
      <c r="J2" s="50" t="str">
        <f t="shared" ref="J2:J71" si="1">IF(F2 &gt; 8, "Blockbuster", IF(F2 &gt; 7, "Hit", IF(F2 &gt; 5, "Average", "Flop")))</f>
        <v>Blockbuster</v>
      </c>
    </row>
    <row r="3" ht="15.75" customHeight="1">
      <c r="A3" s="48" t="s">
        <v>64</v>
      </c>
      <c r="B3" s="49" t="s">
        <v>57</v>
      </c>
      <c r="C3" s="50" t="s">
        <v>153</v>
      </c>
      <c r="D3" s="51">
        <v>8.8</v>
      </c>
      <c r="E3" s="51">
        <v>9.3</v>
      </c>
      <c r="F3" s="51">
        <v>9.05</v>
      </c>
      <c r="G3" s="52">
        <v>30.0</v>
      </c>
      <c r="H3" s="52">
        <v>359.0</v>
      </c>
      <c r="I3" s="53">
        <v>11.966666666666667</v>
      </c>
      <c r="J3" s="50" t="str">
        <f t="shared" si="1"/>
        <v>Blockbuster</v>
      </c>
    </row>
    <row r="4" ht="15.75" customHeight="1">
      <c r="A4" s="48" t="s">
        <v>28</v>
      </c>
      <c r="B4" s="49" t="s">
        <v>17</v>
      </c>
      <c r="C4" s="50" t="s">
        <v>153</v>
      </c>
      <c r="D4" s="51">
        <v>8.5</v>
      </c>
      <c r="E4" s="51">
        <v>9.2</v>
      </c>
      <c r="F4" s="51">
        <v>8.85</v>
      </c>
      <c r="G4" s="52">
        <v>40.0</v>
      </c>
      <c r="H4" s="52">
        <v>351.82</v>
      </c>
      <c r="I4" s="53">
        <v>8.7955</v>
      </c>
      <c r="J4" s="50" t="str">
        <f t="shared" si="1"/>
        <v>Blockbuster</v>
      </c>
    </row>
    <row r="5" ht="15.75" customHeight="1">
      <c r="A5" s="48" t="s">
        <v>35</v>
      </c>
      <c r="B5" s="49" t="s">
        <v>17</v>
      </c>
      <c r="C5" s="50" t="s">
        <v>154</v>
      </c>
      <c r="D5" s="51">
        <v>8.8</v>
      </c>
      <c r="E5" s="51">
        <v>8.9</v>
      </c>
      <c r="F5" s="51">
        <v>8.850000000000001</v>
      </c>
      <c r="G5" s="52">
        <v>100.0</v>
      </c>
      <c r="H5" s="52">
        <v>346.49</v>
      </c>
      <c r="I5" s="53">
        <v>3.4649</v>
      </c>
      <c r="J5" s="50" t="str">
        <f t="shared" si="1"/>
        <v>Blockbuster</v>
      </c>
    </row>
    <row r="6" ht="15.75" customHeight="1">
      <c r="A6" s="48" t="s">
        <v>82</v>
      </c>
      <c r="B6" s="49" t="s">
        <v>72</v>
      </c>
      <c r="C6" s="50" t="s">
        <v>153</v>
      </c>
      <c r="D6" s="51">
        <v>8.8</v>
      </c>
      <c r="E6" s="51">
        <v>8.9</v>
      </c>
      <c r="F6" s="51">
        <v>8.850000000000001</v>
      </c>
      <c r="G6" s="52">
        <v>10.0</v>
      </c>
      <c r="H6" s="52">
        <v>28.0</v>
      </c>
      <c r="I6" s="53">
        <v>2.8</v>
      </c>
      <c r="J6" s="50" t="str">
        <f t="shared" si="1"/>
        <v>Blockbuster</v>
      </c>
    </row>
    <row r="7" ht="15.75" customHeight="1">
      <c r="A7" s="48" t="s">
        <v>79</v>
      </c>
      <c r="B7" s="49" t="s">
        <v>72</v>
      </c>
      <c r="C7" s="50" t="s">
        <v>152</v>
      </c>
      <c r="D7" s="51">
        <v>8.2</v>
      </c>
      <c r="E7" s="51">
        <v>9.4</v>
      </c>
      <c r="F7" s="51">
        <v>8.8</v>
      </c>
      <c r="G7" s="52">
        <v>2.5</v>
      </c>
      <c r="H7" s="52">
        <v>25.5</v>
      </c>
      <c r="I7" s="53">
        <v>10.2</v>
      </c>
      <c r="J7" s="50" t="str">
        <f t="shared" si="1"/>
        <v>Blockbuster</v>
      </c>
    </row>
    <row r="8" ht="15.75" customHeight="1">
      <c r="A8" s="48" t="s">
        <v>37</v>
      </c>
      <c r="B8" s="49" t="s">
        <v>38</v>
      </c>
      <c r="C8" s="50" t="s">
        <v>157</v>
      </c>
      <c r="D8" s="51">
        <v>8.5</v>
      </c>
      <c r="E8" s="51">
        <v>9.0</v>
      </c>
      <c r="F8" s="51">
        <v>8.75</v>
      </c>
      <c r="G8" s="52">
        <v>7.0</v>
      </c>
      <c r="H8" s="52">
        <v>108.0</v>
      </c>
      <c r="I8" s="53">
        <v>15.428571428571429</v>
      </c>
      <c r="J8" s="50" t="str">
        <f t="shared" si="1"/>
        <v>Blockbuster</v>
      </c>
    </row>
    <row r="9" ht="15.75" customHeight="1">
      <c r="A9" s="48" t="s">
        <v>86</v>
      </c>
      <c r="B9" s="49" t="s">
        <v>72</v>
      </c>
      <c r="C9" s="50" t="s">
        <v>154</v>
      </c>
      <c r="D9" s="51">
        <v>8.5</v>
      </c>
      <c r="E9" s="51">
        <v>9.0</v>
      </c>
      <c r="F9" s="51">
        <v>8.75</v>
      </c>
      <c r="G9" s="52">
        <v>8.0</v>
      </c>
      <c r="H9" s="52">
        <v>17.0</v>
      </c>
      <c r="I9" s="53">
        <v>2.125</v>
      </c>
      <c r="J9" s="50" t="str">
        <f t="shared" si="1"/>
        <v>Blockbuster</v>
      </c>
    </row>
    <row r="10" ht="15.75" customHeight="1">
      <c r="A10" s="48" t="s">
        <v>43</v>
      </c>
      <c r="B10" s="49" t="s">
        <v>38</v>
      </c>
      <c r="C10" s="50" t="s">
        <v>157</v>
      </c>
      <c r="D10" s="51">
        <v>8.0</v>
      </c>
      <c r="E10" s="51">
        <v>9.4</v>
      </c>
      <c r="F10" s="51">
        <v>8.7</v>
      </c>
      <c r="G10" s="52">
        <v>37.0</v>
      </c>
      <c r="H10" s="52">
        <v>189.0</v>
      </c>
      <c r="I10" s="53">
        <v>5.108108108108108</v>
      </c>
      <c r="J10" s="50" t="str">
        <f t="shared" si="1"/>
        <v>Blockbuster</v>
      </c>
    </row>
    <row r="11" ht="15.75" customHeight="1">
      <c r="A11" s="48" t="s">
        <v>33</v>
      </c>
      <c r="B11" s="49" t="s">
        <v>17</v>
      </c>
      <c r="C11" s="50" t="s">
        <v>154</v>
      </c>
      <c r="D11" s="51">
        <v>8.2</v>
      </c>
      <c r="E11" s="51">
        <v>9.1</v>
      </c>
      <c r="F11" s="51">
        <v>8.649999999999999</v>
      </c>
      <c r="G11" s="52">
        <v>250.0</v>
      </c>
      <c r="H11" s="52">
        <v>1437.35</v>
      </c>
      <c r="I11" s="53">
        <v>5.7494</v>
      </c>
      <c r="J11" s="50" t="str">
        <f t="shared" si="1"/>
        <v>Blockbuster</v>
      </c>
    </row>
    <row r="12" ht="15.75" customHeight="1">
      <c r="A12" s="48" t="s">
        <v>110</v>
      </c>
      <c r="B12" s="49" t="s">
        <v>107</v>
      </c>
      <c r="C12" s="50" t="s">
        <v>153</v>
      </c>
      <c r="D12" s="51">
        <v>8.4</v>
      </c>
      <c r="E12" s="51">
        <v>8.9</v>
      </c>
      <c r="F12" s="51">
        <v>8.65</v>
      </c>
      <c r="G12" s="52">
        <v>12.0</v>
      </c>
      <c r="H12" s="52">
        <v>146.0</v>
      </c>
      <c r="I12" s="53">
        <v>12.166666666666666</v>
      </c>
      <c r="J12" s="50" t="str">
        <f t="shared" si="1"/>
        <v>Blockbuster</v>
      </c>
    </row>
    <row r="13" ht="15.75" customHeight="1">
      <c r="A13" s="48" t="s">
        <v>131</v>
      </c>
      <c r="B13" s="49" t="s">
        <v>119</v>
      </c>
      <c r="C13" s="50" t="s">
        <v>153</v>
      </c>
      <c r="D13" s="51">
        <v>8.0</v>
      </c>
      <c r="E13" s="51">
        <v>9.2</v>
      </c>
      <c r="F13" s="51">
        <v>8.6</v>
      </c>
      <c r="G13" s="52">
        <v>250.4</v>
      </c>
      <c r="H13" s="52">
        <v>403.2</v>
      </c>
      <c r="I13" s="53">
        <v>1.6102236421725238</v>
      </c>
      <c r="J13" s="50" t="str">
        <f t="shared" si="1"/>
        <v>Blockbuster</v>
      </c>
    </row>
    <row r="14" ht="15.75" customHeight="1">
      <c r="A14" s="48" t="s">
        <v>62</v>
      </c>
      <c r="B14" s="49" t="s">
        <v>57</v>
      </c>
      <c r="C14" s="50" t="s">
        <v>152</v>
      </c>
      <c r="D14" s="51">
        <v>8.2</v>
      </c>
      <c r="E14" s="51">
        <v>8.8</v>
      </c>
      <c r="F14" s="51">
        <v>8.5</v>
      </c>
      <c r="G14" s="52">
        <v>15.0</v>
      </c>
      <c r="H14" s="52">
        <v>257.0</v>
      </c>
      <c r="I14" s="53">
        <v>17.133333333333333</v>
      </c>
      <c r="J14" s="50" t="str">
        <f t="shared" si="1"/>
        <v>Blockbuster</v>
      </c>
    </row>
    <row r="15" ht="15.75" customHeight="1">
      <c r="A15" s="48" t="s">
        <v>127</v>
      </c>
      <c r="B15" s="49" t="s">
        <v>119</v>
      </c>
      <c r="C15" s="50" t="s">
        <v>152</v>
      </c>
      <c r="D15" s="51">
        <v>8.2</v>
      </c>
      <c r="E15" s="51">
        <v>8.7</v>
      </c>
      <c r="F15" s="51">
        <v>8.45</v>
      </c>
      <c r="G15" s="52">
        <v>70.0</v>
      </c>
      <c r="H15" s="52">
        <v>174.0</v>
      </c>
      <c r="I15" s="53">
        <v>2.4857142857142858</v>
      </c>
      <c r="J15" s="50" t="str">
        <f t="shared" si="1"/>
        <v>Blockbuster</v>
      </c>
    </row>
    <row r="16" ht="15.75" customHeight="1">
      <c r="A16" s="48" t="s">
        <v>20</v>
      </c>
      <c r="B16" s="49" t="s">
        <v>17</v>
      </c>
      <c r="C16" s="50" t="s">
        <v>157</v>
      </c>
      <c r="D16" s="51">
        <v>7.8</v>
      </c>
      <c r="E16" s="51">
        <v>8.8</v>
      </c>
      <c r="F16" s="51">
        <v>8.3</v>
      </c>
      <c r="G16" s="52">
        <v>130.4</v>
      </c>
      <c r="H16" s="52">
        <v>899.0</v>
      </c>
      <c r="I16" s="53">
        <v>6.894171779141104</v>
      </c>
      <c r="J16" s="50" t="str">
        <f t="shared" si="1"/>
        <v>Blockbuster</v>
      </c>
    </row>
    <row r="17" ht="15.75" customHeight="1">
      <c r="A17" s="48" t="s">
        <v>132</v>
      </c>
      <c r="B17" s="49" t="s">
        <v>119</v>
      </c>
      <c r="C17" s="50" t="s">
        <v>153</v>
      </c>
      <c r="D17" s="51">
        <v>7.8</v>
      </c>
      <c r="E17" s="51">
        <v>8.8</v>
      </c>
      <c r="F17" s="51">
        <v>8.3</v>
      </c>
      <c r="G17" s="52">
        <v>60.0</v>
      </c>
      <c r="H17" s="52">
        <v>181.0</v>
      </c>
      <c r="I17" s="53">
        <v>3.0166666666666666</v>
      </c>
      <c r="J17" s="50" t="str">
        <f t="shared" si="1"/>
        <v>Blockbuster</v>
      </c>
    </row>
    <row r="18" ht="15.75" customHeight="1">
      <c r="A18" s="48" t="s">
        <v>55</v>
      </c>
      <c r="B18" s="49" t="s">
        <v>38</v>
      </c>
      <c r="C18" s="50" t="s">
        <v>154</v>
      </c>
      <c r="D18" s="51">
        <v>8.0</v>
      </c>
      <c r="E18" s="51">
        <v>8.5</v>
      </c>
      <c r="F18" s="51">
        <v>8.25</v>
      </c>
      <c r="G18" s="52">
        <v>30.0</v>
      </c>
      <c r="H18" s="52">
        <v>97.0</v>
      </c>
      <c r="I18" s="53">
        <v>3.2333333333333334</v>
      </c>
      <c r="J18" s="50" t="str">
        <f t="shared" si="1"/>
        <v>Blockbuster</v>
      </c>
    </row>
    <row r="19" ht="15.75" customHeight="1">
      <c r="A19" s="48" t="s">
        <v>63</v>
      </c>
      <c r="B19" s="49" t="s">
        <v>57</v>
      </c>
      <c r="C19" s="50" t="s">
        <v>152</v>
      </c>
      <c r="D19" s="51">
        <v>7.8</v>
      </c>
      <c r="E19" s="51">
        <v>8.7</v>
      </c>
      <c r="F19" s="51">
        <v>8.25</v>
      </c>
      <c r="G19" s="52">
        <v>8.0</v>
      </c>
      <c r="H19" s="52">
        <v>87.0</v>
      </c>
      <c r="I19" s="53">
        <v>10.875</v>
      </c>
      <c r="J19" s="50" t="str">
        <f t="shared" si="1"/>
        <v>Blockbuster</v>
      </c>
    </row>
    <row r="20" ht="15.75" customHeight="1">
      <c r="A20" s="48" t="s">
        <v>81</v>
      </c>
      <c r="B20" s="49" t="s">
        <v>72</v>
      </c>
      <c r="C20" s="50" t="s">
        <v>153</v>
      </c>
      <c r="D20" s="51">
        <v>7.8</v>
      </c>
      <c r="E20" s="51">
        <v>8.5</v>
      </c>
      <c r="F20" s="51">
        <v>8.15</v>
      </c>
      <c r="G20" s="52">
        <v>22.0</v>
      </c>
      <c r="H20" s="52">
        <v>50.0</v>
      </c>
      <c r="I20" s="53">
        <v>2.272727272727273</v>
      </c>
      <c r="J20" s="50" t="str">
        <f t="shared" si="1"/>
        <v>Blockbuster</v>
      </c>
    </row>
    <row r="21" ht="15.75" customHeight="1">
      <c r="A21" s="48" t="s">
        <v>84</v>
      </c>
      <c r="B21" s="49" t="s">
        <v>72</v>
      </c>
      <c r="C21" s="50" t="s">
        <v>154</v>
      </c>
      <c r="D21" s="51">
        <v>7.5</v>
      </c>
      <c r="E21" s="51">
        <v>8.8</v>
      </c>
      <c r="F21" s="51">
        <v>8.15</v>
      </c>
      <c r="G21" s="52">
        <v>25.0</v>
      </c>
      <c r="H21" s="52">
        <v>54.0</v>
      </c>
      <c r="I21" s="53">
        <v>2.16</v>
      </c>
      <c r="J21" s="50" t="str">
        <f t="shared" si="1"/>
        <v>Blockbuster</v>
      </c>
    </row>
    <row r="22" ht="15.75" customHeight="1">
      <c r="A22" s="48" t="s">
        <v>83</v>
      </c>
      <c r="B22" s="49" t="s">
        <v>72</v>
      </c>
      <c r="C22" s="50" t="s">
        <v>154</v>
      </c>
      <c r="D22" s="51">
        <v>8.0</v>
      </c>
      <c r="E22" s="51">
        <v>8.2</v>
      </c>
      <c r="F22" s="51">
        <v>8.1</v>
      </c>
      <c r="G22" s="52">
        <v>12.0</v>
      </c>
      <c r="H22" s="52">
        <v>36.0</v>
      </c>
      <c r="I22" s="53">
        <v>3.0</v>
      </c>
      <c r="J22" s="50" t="str">
        <f t="shared" si="1"/>
        <v>Blockbuster</v>
      </c>
    </row>
    <row r="23" ht="15.75" customHeight="1">
      <c r="A23" s="48" t="s">
        <v>118</v>
      </c>
      <c r="B23" s="49" t="s">
        <v>119</v>
      </c>
      <c r="C23" s="50" t="s">
        <v>157</v>
      </c>
      <c r="D23" s="51">
        <v>7.6</v>
      </c>
      <c r="E23" s="51">
        <v>8.5</v>
      </c>
      <c r="F23" s="51">
        <v>8.05</v>
      </c>
      <c r="G23" s="52">
        <v>51.2</v>
      </c>
      <c r="H23" s="52">
        <v>360.0</v>
      </c>
      <c r="I23" s="53">
        <v>7.03125</v>
      </c>
      <c r="J23" s="50" t="str">
        <f t="shared" si="1"/>
        <v>Blockbuster</v>
      </c>
    </row>
    <row r="24" ht="15.75" customHeight="1">
      <c r="A24" s="48" t="s">
        <v>48</v>
      </c>
      <c r="B24" s="49" t="s">
        <v>38</v>
      </c>
      <c r="C24" s="50" t="s">
        <v>153</v>
      </c>
      <c r="D24" s="51">
        <v>8.0</v>
      </c>
      <c r="E24" s="51">
        <v>8.0</v>
      </c>
      <c r="F24" s="51">
        <v>8.0</v>
      </c>
      <c r="G24" s="52">
        <v>25.0</v>
      </c>
      <c r="H24" s="52">
        <v>130.0</v>
      </c>
      <c r="I24" s="53">
        <v>5.2</v>
      </c>
      <c r="J24" s="50" t="str">
        <f t="shared" si="1"/>
        <v>Hit</v>
      </c>
    </row>
    <row r="25" ht="15.75" customHeight="1">
      <c r="A25" s="48" t="s">
        <v>68</v>
      </c>
      <c r="B25" s="49" t="s">
        <v>57</v>
      </c>
      <c r="C25" s="50" t="s">
        <v>154</v>
      </c>
      <c r="D25" s="51">
        <v>7.6</v>
      </c>
      <c r="E25" s="51">
        <v>8.4</v>
      </c>
      <c r="F25" s="51">
        <v>8.0</v>
      </c>
      <c r="G25" s="52">
        <v>18.0</v>
      </c>
      <c r="H25" s="52">
        <v>140.0</v>
      </c>
      <c r="I25" s="53">
        <v>7.777777777777778</v>
      </c>
      <c r="J25" s="50" t="str">
        <f t="shared" si="1"/>
        <v>Hit</v>
      </c>
    </row>
    <row r="26" ht="15.75" customHeight="1">
      <c r="A26" s="48" t="s">
        <v>98</v>
      </c>
      <c r="B26" s="49" t="s">
        <v>89</v>
      </c>
      <c r="C26" s="50" t="s">
        <v>152</v>
      </c>
      <c r="D26" s="51">
        <v>7.5</v>
      </c>
      <c r="E26" s="51">
        <v>8.5</v>
      </c>
      <c r="F26" s="51">
        <v>8.0</v>
      </c>
      <c r="G26" s="52">
        <v>15.0</v>
      </c>
      <c r="H26" s="52">
        <v>85.1</v>
      </c>
      <c r="I26" s="53">
        <v>5.673333333333333</v>
      </c>
      <c r="J26" s="50" t="str">
        <f t="shared" si="1"/>
        <v>Hit</v>
      </c>
    </row>
    <row r="27" ht="15.75" customHeight="1">
      <c r="A27" s="48" t="s">
        <v>26</v>
      </c>
      <c r="B27" s="49" t="s">
        <v>17</v>
      </c>
      <c r="C27" s="50" t="s">
        <v>153</v>
      </c>
      <c r="D27" s="51">
        <v>7.4</v>
      </c>
      <c r="E27" s="51">
        <v>8.5</v>
      </c>
      <c r="F27" s="51">
        <v>7.95</v>
      </c>
      <c r="G27" s="52">
        <v>45.4</v>
      </c>
      <c r="H27" s="52">
        <v>604.8</v>
      </c>
      <c r="I27" s="53">
        <v>13.3215859030837</v>
      </c>
      <c r="J27" s="50" t="str">
        <f t="shared" si="1"/>
        <v>Hit</v>
      </c>
    </row>
    <row r="28" ht="15.75" customHeight="1">
      <c r="A28" s="48" t="s">
        <v>67</v>
      </c>
      <c r="B28" s="49" t="s">
        <v>57</v>
      </c>
      <c r="C28" s="50" t="s">
        <v>154</v>
      </c>
      <c r="D28" s="51">
        <v>7.8</v>
      </c>
      <c r="E28" s="51">
        <v>8.1</v>
      </c>
      <c r="F28" s="51">
        <v>7.949999999999999</v>
      </c>
      <c r="G28" s="52">
        <v>25.0</v>
      </c>
      <c r="H28" s="52">
        <v>111.0</v>
      </c>
      <c r="I28" s="53">
        <v>4.44</v>
      </c>
      <c r="J28" s="50" t="str">
        <f t="shared" si="1"/>
        <v>Hit</v>
      </c>
    </row>
    <row r="29" ht="15.75" customHeight="1">
      <c r="A29" s="48" t="s">
        <v>53</v>
      </c>
      <c r="B29" s="49" t="s">
        <v>38</v>
      </c>
      <c r="C29" s="50" t="s">
        <v>154</v>
      </c>
      <c r="D29" s="51">
        <v>7.0</v>
      </c>
      <c r="E29" s="51">
        <v>8.8</v>
      </c>
      <c r="F29" s="51">
        <v>7.9</v>
      </c>
      <c r="G29" s="52">
        <v>30.0</v>
      </c>
      <c r="H29" s="52">
        <v>139.0</v>
      </c>
      <c r="I29" s="53">
        <v>4.633333333333334</v>
      </c>
      <c r="J29" s="50" t="str">
        <f t="shared" si="1"/>
        <v>Hit</v>
      </c>
    </row>
    <row r="30" ht="15.75" customHeight="1">
      <c r="A30" s="48" t="s">
        <v>95</v>
      </c>
      <c r="B30" s="49" t="s">
        <v>89</v>
      </c>
      <c r="C30" s="50" t="s">
        <v>152</v>
      </c>
      <c r="D30" s="51">
        <v>7.5</v>
      </c>
      <c r="E30" s="51">
        <v>8.2</v>
      </c>
      <c r="F30" s="51">
        <v>7.85</v>
      </c>
      <c r="G30" s="52">
        <v>10.0</v>
      </c>
      <c r="H30" s="52">
        <v>12.2</v>
      </c>
      <c r="I30" s="53">
        <v>1.22</v>
      </c>
      <c r="J30" s="50" t="str">
        <f t="shared" si="1"/>
        <v>Hit</v>
      </c>
    </row>
    <row r="31" ht="15.75" customHeight="1">
      <c r="A31" s="48" t="s">
        <v>56</v>
      </c>
      <c r="B31" s="49" t="s">
        <v>57</v>
      </c>
      <c r="C31" s="50" t="s">
        <v>157</v>
      </c>
      <c r="D31" s="51">
        <v>7.5</v>
      </c>
      <c r="E31" s="51">
        <v>8.0</v>
      </c>
      <c r="F31" s="51">
        <v>7.75</v>
      </c>
      <c r="G31" s="52">
        <v>12.0</v>
      </c>
      <c r="H31" s="52">
        <v>71.0</v>
      </c>
      <c r="I31" s="53">
        <v>5.916666666666667</v>
      </c>
      <c r="J31" s="50" t="str">
        <f t="shared" si="1"/>
        <v>Hit</v>
      </c>
    </row>
    <row r="32" ht="15.75" customHeight="1">
      <c r="A32" s="48">
        <v>45.0</v>
      </c>
      <c r="B32" s="49" t="s">
        <v>107</v>
      </c>
      <c r="C32" s="50" t="s">
        <v>154</v>
      </c>
      <c r="D32" s="51">
        <v>7.4</v>
      </c>
      <c r="E32" s="51">
        <v>8.1</v>
      </c>
      <c r="F32" s="51">
        <v>7.75</v>
      </c>
      <c r="G32" s="52">
        <v>70.0</v>
      </c>
      <c r="H32" s="52">
        <v>56.0</v>
      </c>
      <c r="I32" s="53">
        <v>0.8</v>
      </c>
      <c r="J32" s="50" t="str">
        <f t="shared" si="1"/>
        <v>Hit</v>
      </c>
    </row>
    <row r="33" ht="15.75" customHeight="1">
      <c r="A33" s="48" t="s">
        <v>69</v>
      </c>
      <c r="B33" s="49" t="s">
        <v>57</v>
      </c>
      <c r="C33" s="50" t="s">
        <v>154</v>
      </c>
      <c r="D33" s="51">
        <v>7.4</v>
      </c>
      <c r="E33" s="51">
        <v>7.9</v>
      </c>
      <c r="F33" s="51">
        <v>7.65</v>
      </c>
      <c r="G33" s="52">
        <v>28.0</v>
      </c>
      <c r="H33" s="52">
        <v>105.0</v>
      </c>
      <c r="I33" s="53">
        <v>3.75</v>
      </c>
      <c r="J33" s="50" t="str">
        <f t="shared" si="1"/>
        <v>Hit</v>
      </c>
    </row>
    <row r="34" ht="15.75" customHeight="1">
      <c r="A34" s="48" t="s">
        <v>126</v>
      </c>
      <c r="B34" s="49" t="s">
        <v>119</v>
      </c>
      <c r="C34" s="50" t="s">
        <v>157</v>
      </c>
      <c r="D34" s="51">
        <v>7.2</v>
      </c>
      <c r="E34" s="51">
        <v>7.9</v>
      </c>
      <c r="F34" s="51">
        <v>7.550000000000001</v>
      </c>
      <c r="G34" s="52">
        <v>120.0</v>
      </c>
      <c r="H34" s="52">
        <v>184.0</v>
      </c>
      <c r="I34" s="53">
        <v>1.5333333333333334</v>
      </c>
      <c r="J34" s="50" t="str">
        <f t="shared" si="1"/>
        <v>Hit</v>
      </c>
    </row>
    <row r="35" ht="15.75" customHeight="1">
      <c r="A35" s="48" t="s">
        <v>49</v>
      </c>
      <c r="B35" s="49" t="s">
        <v>38</v>
      </c>
      <c r="C35" s="50" t="s">
        <v>153</v>
      </c>
      <c r="D35" s="51">
        <v>7.0</v>
      </c>
      <c r="E35" s="51">
        <v>8.0</v>
      </c>
      <c r="F35" s="51">
        <v>7.5</v>
      </c>
      <c r="G35" s="52">
        <v>375.0</v>
      </c>
      <c r="H35" s="52">
        <v>648.0</v>
      </c>
      <c r="I35" s="53">
        <v>1.728</v>
      </c>
      <c r="J35" s="50" t="str">
        <f t="shared" si="1"/>
        <v>Hit</v>
      </c>
    </row>
    <row r="36" ht="15.75" customHeight="1">
      <c r="A36" s="48" t="s">
        <v>104</v>
      </c>
      <c r="B36" s="49" t="s">
        <v>89</v>
      </c>
      <c r="C36" s="50" t="s">
        <v>154</v>
      </c>
      <c r="D36" s="51">
        <v>7.0</v>
      </c>
      <c r="E36" s="51">
        <v>8.0</v>
      </c>
      <c r="F36" s="51">
        <v>7.5</v>
      </c>
      <c r="G36" s="52">
        <v>18.0</v>
      </c>
      <c r="H36" s="52">
        <v>40.0</v>
      </c>
      <c r="I36" s="53">
        <v>2.2222222222222223</v>
      </c>
      <c r="J36" s="50" t="str">
        <f t="shared" si="1"/>
        <v>Hit</v>
      </c>
    </row>
    <row r="37" ht="15.75" customHeight="1">
      <c r="A37" s="48" t="s">
        <v>22</v>
      </c>
      <c r="B37" s="49" t="s">
        <v>17</v>
      </c>
      <c r="C37" s="50" t="s">
        <v>157</v>
      </c>
      <c r="D37" s="51">
        <v>7.0</v>
      </c>
      <c r="E37" s="51">
        <v>7.8</v>
      </c>
      <c r="F37" s="51">
        <v>7.4</v>
      </c>
      <c r="G37" s="52">
        <v>90.0</v>
      </c>
      <c r="H37" s="52">
        <v>308.0</v>
      </c>
      <c r="I37" s="53">
        <v>3.422222222222222</v>
      </c>
      <c r="J37" s="50" t="str">
        <f t="shared" si="1"/>
        <v>Hit</v>
      </c>
    </row>
    <row r="38" ht="15.75" customHeight="1">
      <c r="A38" s="48" t="s">
        <v>112</v>
      </c>
      <c r="B38" s="49" t="s">
        <v>107</v>
      </c>
      <c r="C38" s="50" t="s">
        <v>153</v>
      </c>
      <c r="D38" s="51">
        <v>7.2</v>
      </c>
      <c r="E38" s="51">
        <v>7.5</v>
      </c>
      <c r="F38" s="51">
        <v>7.35</v>
      </c>
      <c r="G38" s="52">
        <v>10.0</v>
      </c>
      <c r="H38" s="52">
        <v>13.0</v>
      </c>
      <c r="I38" s="53">
        <v>1.3</v>
      </c>
      <c r="J38" s="50" t="str">
        <f t="shared" si="1"/>
        <v>Hit</v>
      </c>
    </row>
    <row r="39" ht="15.75" customHeight="1">
      <c r="A39" s="48" t="s">
        <v>76</v>
      </c>
      <c r="B39" s="49" t="s">
        <v>72</v>
      </c>
      <c r="C39" s="50" t="s">
        <v>152</v>
      </c>
      <c r="D39" s="51">
        <v>7.0</v>
      </c>
      <c r="E39" s="51">
        <v>7.5</v>
      </c>
      <c r="F39" s="51">
        <v>7.25</v>
      </c>
      <c r="G39" s="52">
        <v>25.0</v>
      </c>
      <c r="H39" s="52">
        <v>42.0</v>
      </c>
      <c r="I39" s="53">
        <v>1.68</v>
      </c>
      <c r="J39" s="50" t="str">
        <f t="shared" si="1"/>
        <v>Hit</v>
      </c>
    </row>
    <row r="40" ht="15.75" customHeight="1">
      <c r="A40" s="48" t="s">
        <v>100</v>
      </c>
      <c r="B40" s="49" t="s">
        <v>89</v>
      </c>
      <c r="C40" s="50" t="s">
        <v>153</v>
      </c>
      <c r="D40" s="51">
        <v>7.0</v>
      </c>
      <c r="E40" s="51">
        <v>7.5</v>
      </c>
      <c r="F40" s="51">
        <v>7.25</v>
      </c>
      <c r="G40" s="52">
        <v>25.0</v>
      </c>
      <c r="H40" s="52">
        <v>29.2</v>
      </c>
      <c r="I40" s="53">
        <v>1.168</v>
      </c>
      <c r="J40" s="50" t="str">
        <f t="shared" si="1"/>
        <v>Hit</v>
      </c>
    </row>
    <row r="41" ht="15.75" customHeight="1">
      <c r="A41" s="48" t="s">
        <v>78</v>
      </c>
      <c r="B41" s="49" t="s">
        <v>72</v>
      </c>
      <c r="C41" s="50" t="s">
        <v>152</v>
      </c>
      <c r="D41" s="51">
        <v>7.2</v>
      </c>
      <c r="E41" s="51">
        <v>7.1</v>
      </c>
      <c r="F41" s="51">
        <v>7.15</v>
      </c>
      <c r="G41" s="52">
        <v>15.0</v>
      </c>
      <c r="H41" s="52">
        <v>26.0</v>
      </c>
      <c r="I41" s="53">
        <v>1.7333333333333334</v>
      </c>
      <c r="J41" s="50" t="str">
        <f t="shared" si="1"/>
        <v>Hit</v>
      </c>
    </row>
    <row r="42" ht="15.75" customHeight="1">
      <c r="A42" s="48" t="s">
        <v>97</v>
      </c>
      <c r="B42" s="49" t="s">
        <v>89</v>
      </c>
      <c r="C42" s="50" t="s">
        <v>152</v>
      </c>
      <c r="D42" s="51">
        <v>6.5</v>
      </c>
      <c r="E42" s="51">
        <v>7.8</v>
      </c>
      <c r="F42" s="51">
        <v>7.15</v>
      </c>
      <c r="G42" s="52">
        <v>10.0</v>
      </c>
      <c r="H42" s="52">
        <v>39.9</v>
      </c>
      <c r="I42" s="53">
        <v>3.9899999999999998</v>
      </c>
      <c r="J42" s="50" t="str">
        <f t="shared" si="1"/>
        <v>Hit</v>
      </c>
    </row>
    <row r="43" ht="15.75" customHeight="1">
      <c r="A43" s="48" t="s">
        <v>60</v>
      </c>
      <c r="B43" s="49" t="s">
        <v>57</v>
      </c>
      <c r="C43" s="50" t="s">
        <v>157</v>
      </c>
      <c r="D43" s="51">
        <v>6.8</v>
      </c>
      <c r="E43" s="51">
        <v>7.4</v>
      </c>
      <c r="F43" s="51">
        <v>7.1</v>
      </c>
      <c r="G43" s="52">
        <v>13.0</v>
      </c>
      <c r="H43" s="52">
        <v>65.0</v>
      </c>
      <c r="I43" s="53">
        <v>5.0</v>
      </c>
      <c r="J43" s="50" t="str">
        <f t="shared" si="1"/>
        <v>Hit</v>
      </c>
    </row>
    <row r="44" ht="15.75" customHeight="1">
      <c r="A44" s="18" t="s">
        <v>124</v>
      </c>
      <c r="B44" s="49" t="s">
        <v>119</v>
      </c>
      <c r="C44" s="50" t="s">
        <v>157</v>
      </c>
      <c r="D44" s="51">
        <v>6.8</v>
      </c>
      <c r="E44" s="51">
        <v>7.4</v>
      </c>
      <c r="F44" s="51">
        <v>7.1</v>
      </c>
      <c r="G44" s="52">
        <v>85.0</v>
      </c>
      <c r="H44" s="52">
        <v>145.0</v>
      </c>
      <c r="I44" s="53">
        <v>1.7058823529411764</v>
      </c>
      <c r="J44" s="50" t="str">
        <f t="shared" si="1"/>
        <v>Hit</v>
      </c>
    </row>
    <row r="45" ht="15.75" customHeight="1">
      <c r="A45" s="48" t="s">
        <v>92</v>
      </c>
      <c r="B45" s="49" t="s">
        <v>89</v>
      </c>
      <c r="C45" s="50" t="s">
        <v>157</v>
      </c>
      <c r="D45" s="51">
        <v>6.5</v>
      </c>
      <c r="E45" s="51">
        <v>7.4</v>
      </c>
      <c r="F45" s="51">
        <v>6.95</v>
      </c>
      <c r="G45" s="52">
        <v>4.5</v>
      </c>
      <c r="H45" s="52">
        <v>10.1</v>
      </c>
      <c r="I45" s="53">
        <v>2.2444444444444445</v>
      </c>
      <c r="J45" s="50" t="str">
        <f t="shared" si="1"/>
        <v>Average</v>
      </c>
    </row>
    <row r="46" ht="15.75" customHeight="1">
      <c r="A46" s="48" t="s">
        <v>109</v>
      </c>
      <c r="B46" s="49" t="s">
        <v>107</v>
      </c>
      <c r="C46" s="50" t="s">
        <v>152</v>
      </c>
      <c r="D46" s="51">
        <v>6.8</v>
      </c>
      <c r="E46" s="51">
        <v>7.0</v>
      </c>
      <c r="F46" s="51">
        <v>6.9</v>
      </c>
      <c r="G46" s="52">
        <v>10.0</v>
      </c>
      <c r="H46" s="52">
        <v>60.0</v>
      </c>
      <c r="I46" s="53">
        <v>6.0</v>
      </c>
      <c r="J46" s="50" t="str">
        <f t="shared" si="1"/>
        <v>Average</v>
      </c>
    </row>
    <row r="47" ht="15.75" customHeight="1">
      <c r="A47" s="48" t="s">
        <v>45</v>
      </c>
      <c r="B47" s="49" t="s">
        <v>38</v>
      </c>
      <c r="C47" s="50" t="s">
        <v>152</v>
      </c>
      <c r="D47" s="51">
        <v>6.5</v>
      </c>
      <c r="E47" s="51">
        <v>7.2</v>
      </c>
      <c r="F47" s="51">
        <v>6.85</v>
      </c>
      <c r="G47" s="52">
        <v>270.0</v>
      </c>
      <c r="H47" s="52">
        <v>343.0</v>
      </c>
      <c r="I47" s="53">
        <v>1.2703703703703704</v>
      </c>
      <c r="J47" s="50" t="str">
        <f t="shared" si="1"/>
        <v>Average</v>
      </c>
      <c r="T47" s="56"/>
    </row>
    <row r="48" ht="15.75" customHeight="1">
      <c r="A48" s="48" t="s">
        <v>116</v>
      </c>
      <c r="B48" s="49" t="s">
        <v>107</v>
      </c>
      <c r="C48" s="50" t="s">
        <v>154</v>
      </c>
      <c r="D48" s="51">
        <v>6.5</v>
      </c>
      <c r="E48" s="51">
        <v>7.2</v>
      </c>
      <c r="F48" s="51">
        <v>6.85</v>
      </c>
      <c r="G48" s="52">
        <v>45.0</v>
      </c>
      <c r="H48" s="52">
        <v>57.0</v>
      </c>
      <c r="I48" s="53">
        <v>1.2666666666666666</v>
      </c>
      <c r="J48" s="50" t="str">
        <f t="shared" si="1"/>
        <v>Average</v>
      </c>
    </row>
    <row r="49" ht="15.75" customHeight="1">
      <c r="A49" s="48" t="s">
        <v>88</v>
      </c>
      <c r="B49" s="49" t="s">
        <v>89</v>
      </c>
      <c r="C49" s="50" t="s">
        <v>157</v>
      </c>
      <c r="D49" s="51">
        <v>6.5</v>
      </c>
      <c r="E49" s="51">
        <v>7.1</v>
      </c>
      <c r="F49" s="51">
        <v>6.8</v>
      </c>
      <c r="G49" s="52">
        <v>6.0</v>
      </c>
      <c r="H49" s="52">
        <v>11.0</v>
      </c>
      <c r="I49" s="53">
        <v>1.8333333333333333</v>
      </c>
      <c r="J49" s="50" t="str">
        <f t="shared" si="1"/>
        <v>Average</v>
      </c>
    </row>
    <row r="50" ht="15.75" customHeight="1">
      <c r="A50" s="48" t="s">
        <v>41</v>
      </c>
      <c r="B50" s="49" t="s">
        <v>38</v>
      </c>
      <c r="C50" s="50" t="s">
        <v>157</v>
      </c>
      <c r="D50" s="51">
        <v>6.0</v>
      </c>
      <c r="E50" s="51">
        <v>7.5</v>
      </c>
      <c r="F50" s="51">
        <v>6.75</v>
      </c>
      <c r="G50" s="52">
        <v>200.0</v>
      </c>
      <c r="H50" s="52">
        <v>236.0</v>
      </c>
      <c r="I50" s="53">
        <v>1.18</v>
      </c>
      <c r="J50" s="50" t="str">
        <f t="shared" si="1"/>
        <v>Average</v>
      </c>
    </row>
    <row r="51" ht="15.75" customHeight="1">
      <c r="A51" s="48" t="s">
        <v>74</v>
      </c>
      <c r="B51" s="49" t="s">
        <v>72</v>
      </c>
      <c r="C51" s="50" t="s">
        <v>157</v>
      </c>
      <c r="D51" s="51">
        <v>6.5</v>
      </c>
      <c r="E51" s="51">
        <v>7.0</v>
      </c>
      <c r="F51" s="51">
        <v>6.75</v>
      </c>
      <c r="G51" s="52">
        <v>10.0</v>
      </c>
      <c r="H51" s="52">
        <v>13.0</v>
      </c>
      <c r="I51" s="53">
        <v>1.3</v>
      </c>
      <c r="J51" s="50" t="str">
        <f t="shared" si="1"/>
        <v>Average</v>
      </c>
    </row>
    <row r="52" ht="15.75" customHeight="1">
      <c r="A52" s="48" t="s">
        <v>31</v>
      </c>
      <c r="B52" s="49" t="s">
        <v>17</v>
      </c>
      <c r="C52" s="50" t="s">
        <v>153</v>
      </c>
      <c r="D52" s="51">
        <v>8.5</v>
      </c>
      <c r="E52" s="51">
        <v>4.9</v>
      </c>
      <c r="F52" s="51">
        <v>6.7</v>
      </c>
      <c r="G52" s="52">
        <v>305.3</v>
      </c>
      <c r="H52" s="52">
        <v>785.9000000000001</v>
      </c>
      <c r="I52" s="53">
        <v>2.5741893219783822</v>
      </c>
      <c r="J52" s="50" t="str">
        <f t="shared" si="1"/>
        <v>Average</v>
      </c>
    </row>
    <row r="53" ht="15.75" customHeight="1">
      <c r="A53" s="48" t="s">
        <v>122</v>
      </c>
      <c r="B53" s="49" t="s">
        <v>119</v>
      </c>
      <c r="C53" s="50" t="s">
        <v>157</v>
      </c>
      <c r="D53" s="51">
        <v>6.2</v>
      </c>
      <c r="E53" s="51">
        <v>7.2</v>
      </c>
      <c r="F53" s="51">
        <v>6.7</v>
      </c>
      <c r="G53" s="52">
        <v>100.0</v>
      </c>
      <c r="H53" s="52">
        <v>152.0</v>
      </c>
      <c r="I53" s="53">
        <v>1.52</v>
      </c>
      <c r="J53" s="50" t="str">
        <f t="shared" si="1"/>
        <v>Average</v>
      </c>
    </row>
    <row r="54" ht="15.75" customHeight="1">
      <c r="A54" s="48" t="s">
        <v>105</v>
      </c>
      <c r="B54" s="49" t="s">
        <v>89</v>
      </c>
      <c r="C54" s="50" t="s">
        <v>154</v>
      </c>
      <c r="D54" s="51">
        <v>6.0</v>
      </c>
      <c r="E54" s="51">
        <v>7.2</v>
      </c>
      <c r="F54" s="51">
        <v>6.6</v>
      </c>
      <c r="G54" s="52">
        <v>5.0</v>
      </c>
      <c r="H54" s="52">
        <v>16.3</v>
      </c>
      <c r="I54" s="53">
        <v>3.2600000000000002</v>
      </c>
      <c r="J54" s="50" t="str">
        <f t="shared" si="1"/>
        <v>Average</v>
      </c>
    </row>
    <row r="55" ht="15.75" customHeight="1">
      <c r="A55" s="48" t="s">
        <v>16</v>
      </c>
      <c r="B55" s="49" t="s">
        <v>17</v>
      </c>
      <c r="C55" s="50" t="s">
        <v>157</v>
      </c>
      <c r="D55" s="51">
        <v>6.0</v>
      </c>
      <c r="E55" s="51">
        <v>7.1</v>
      </c>
      <c r="F55" s="51">
        <v>6.55</v>
      </c>
      <c r="G55" s="52">
        <v>160.0</v>
      </c>
      <c r="H55" s="52">
        <v>238.88</v>
      </c>
      <c r="I55" s="53">
        <v>1.4929999999999999</v>
      </c>
      <c r="J55" s="50" t="str">
        <f t="shared" si="1"/>
        <v>Average</v>
      </c>
    </row>
    <row r="56" ht="15.75" customHeight="1">
      <c r="A56" s="48" t="s">
        <v>93</v>
      </c>
      <c r="B56" s="49" t="s">
        <v>89</v>
      </c>
      <c r="C56" s="50" t="s">
        <v>157</v>
      </c>
      <c r="D56" s="51">
        <v>6.0</v>
      </c>
      <c r="E56" s="51">
        <v>7.0</v>
      </c>
      <c r="F56" s="51">
        <v>6.5</v>
      </c>
      <c r="G56" s="52">
        <v>4.0</v>
      </c>
      <c r="H56" s="52">
        <v>8.45</v>
      </c>
      <c r="I56" s="53">
        <v>2.1125</v>
      </c>
      <c r="J56" s="50" t="str">
        <f t="shared" si="1"/>
        <v>Average</v>
      </c>
    </row>
    <row r="57" ht="15.75" customHeight="1">
      <c r="A57" s="48" t="s">
        <v>102</v>
      </c>
      <c r="B57" s="49" t="s">
        <v>89</v>
      </c>
      <c r="C57" s="50" t="s">
        <v>153</v>
      </c>
      <c r="D57" s="51">
        <v>6.0</v>
      </c>
      <c r="E57" s="51">
        <v>6.8</v>
      </c>
      <c r="F57" s="51">
        <v>6.4</v>
      </c>
      <c r="G57" s="52">
        <v>4.0</v>
      </c>
      <c r="H57" s="52">
        <v>5.6</v>
      </c>
      <c r="I57" s="53">
        <v>1.4</v>
      </c>
      <c r="J57" s="50" t="str">
        <f t="shared" si="1"/>
        <v>Average</v>
      </c>
    </row>
    <row r="58" ht="15.75" customHeight="1">
      <c r="A58" s="48" t="s">
        <v>111</v>
      </c>
      <c r="B58" s="49" t="s">
        <v>107</v>
      </c>
      <c r="C58" s="50" t="s">
        <v>153</v>
      </c>
      <c r="D58" s="51">
        <v>6.0</v>
      </c>
      <c r="E58" s="51">
        <v>6.8</v>
      </c>
      <c r="F58" s="51">
        <v>6.4</v>
      </c>
      <c r="G58" s="52">
        <v>15.0</v>
      </c>
      <c r="H58" s="52">
        <v>19.0</v>
      </c>
      <c r="I58" s="53">
        <v>1.2666666666666666</v>
      </c>
      <c r="J58" s="50" t="str">
        <f t="shared" si="1"/>
        <v>Average</v>
      </c>
    </row>
    <row r="59" ht="15.75" customHeight="1">
      <c r="A59" s="48" t="s">
        <v>71</v>
      </c>
      <c r="B59" s="49" t="s">
        <v>72</v>
      </c>
      <c r="C59" s="50" t="s">
        <v>157</v>
      </c>
      <c r="D59" s="51">
        <v>5.8</v>
      </c>
      <c r="E59" s="51">
        <v>6.8</v>
      </c>
      <c r="F59" s="51">
        <v>6.3</v>
      </c>
      <c r="G59" s="52">
        <v>18.0</v>
      </c>
      <c r="H59" s="52">
        <v>21.0</v>
      </c>
      <c r="I59" s="53">
        <v>1.1666666666666667</v>
      </c>
      <c r="J59" s="50" t="str">
        <f t="shared" si="1"/>
        <v>Average</v>
      </c>
    </row>
    <row r="60" ht="15.75" customHeight="1">
      <c r="A60" s="48" t="s">
        <v>66</v>
      </c>
      <c r="B60" s="49" t="s">
        <v>57</v>
      </c>
      <c r="C60" s="50" t="s">
        <v>153</v>
      </c>
      <c r="D60" s="51">
        <v>6.0</v>
      </c>
      <c r="E60" s="51">
        <v>6.5</v>
      </c>
      <c r="F60" s="51">
        <v>6.25</v>
      </c>
      <c r="G60" s="52">
        <v>30.0</v>
      </c>
      <c r="H60" s="52">
        <v>94.0</v>
      </c>
      <c r="I60" s="53">
        <v>3.1333333333333333</v>
      </c>
      <c r="J60" s="50" t="str">
        <f t="shared" si="1"/>
        <v>Average</v>
      </c>
    </row>
    <row r="61" ht="15.75" customHeight="1">
      <c r="A61" s="48" t="s">
        <v>51</v>
      </c>
      <c r="B61" s="49" t="s">
        <v>38</v>
      </c>
      <c r="C61" s="50" t="s">
        <v>153</v>
      </c>
      <c r="D61" s="51">
        <v>6.0</v>
      </c>
      <c r="E61" s="51">
        <v>6.4</v>
      </c>
      <c r="F61" s="51">
        <v>6.2</v>
      </c>
      <c r="G61" s="52">
        <v>180.0</v>
      </c>
      <c r="H61" s="52">
        <v>160.0</v>
      </c>
      <c r="I61" s="53">
        <v>0.8888888888888888</v>
      </c>
      <c r="J61" s="50" t="str">
        <f t="shared" si="1"/>
        <v>Average</v>
      </c>
    </row>
    <row r="62" ht="15.75" customHeight="1">
      <c r="A62" s="48" t="s">
        <v>114</v>
      </c>
      <c r="B62" s="49" t="s">
        <v>107</v>
      </c>
      <c r="C62" s="50" t="s">
        <v>154</v>
      </c>
      <c r="D62" s="51">
        <v>5.8</v>
      </c>
      <c r="E62" s="51">
        <v>6.4</v>
      </c>
      <c r="F62" s="51">
        <v>6.1</v>
      </c>
      <c r="G62" s="52">
        <v>8.0</v>
      </c>
      <c r="H62" s="52">
        <v>10.0</v>
      </c>
      <c r="I62" s="53">
        <v>1.25</v>
      </c>
      <c r="J62" s="50" t="str">
        <f t="shared" si="1"/>
        <v>Average</v>
      </c>
    </row>
    <row r="63" ht="15.75" customHeight="1">
      <c r="A63" s="48" t="s">
        <v>61</v>
      </c>
      <c r="B63" s="49" t="s">
        <v>57</v>
      </c>
      <c r="C63" s="50" t="s">
        <v>157</v>
      </c>
      <c r="D63" s="51">
        <v>5.8</v>
      </c>
      <c r="E63" s="51">
        <v>6.2</v>
      </c>
      <c r="F63" s="51">
        <v>6.0</v>
      </c>
      <c r="G63" s="52">
        <v>160.0</v>
      </c>
      <c r="H63" s="52">
        <v>333.0</v>
      </c>
      <c r="I63" s="53">
        <v>2.08125</v>
      </c>
      <c r="J63" s="50" t="str">
        <f t="shared" si="1"/>
        <v>Average</v>
      </c>
    </row>
    <row r="64" ht="15.75" customHeight="1">
      <c r="A64" s="48" t="s">
        <v>106</v>
      </c>
      <c r="B64" s="49" t="s">
        <v>107</v>
      </c>
      <c r="C64" s="50" t="s">
        <v>152</v>
      </c>
      <c r="D64" s="51">
        <v>5.5</v>
      </c>
      <c r="E64" s="51">
        <v>6.2</v>
      </c>
      <c r="F64" s="51">
        <v>5.85</v>
      </c>
      <c r="G64" s="52">
        <v>12.0</v>
      </c>
      <c r="H64" s="52">
        <v>13.0</v>
      </c>
      <c r="I64" s="53">
        <v>1.0833333333333333</v>
      </c>
      <c r="J64" s="50" t="str">
        <f t="shared" si="1"/>
        <v>Average</v>
      </c>
    </row>
    <row r="65" ht="15.75" customHeight="1">
      <c r="A65" s="48" t="s">
        <v>115</v>
      </c>
      <c r="B65" s="49" t="s">
        <v>107</v>
      </c>
      <c r="C65" s="50" t="s">
        <v>154</v>
      </c>
      <c r="D65" s="51">
        <v>5.2</v>
      </c>
      <c r="E65" s="51">
        <v>6.5</v>
      </c>
      <c r="F65" s="51">
        <v>5.85</v>
      </c>
      <c r="G65" s="52">
        <v>50.0</v>
      </c>
      <c r="H65" s="52">
        <v>67.0</v>
      </c>
      <c r="I65" s="53">
        <v>1.34</v>
      </c>
      <c r="J65" s="50" t="str">
        <f t="shared" si="1"/>
        <v>Average</v>
      </c>
    </row>
    <row r="66" ht="15.75" customHeight="1">
      <c r="A66" s="48" t="s">
        <v>128</v>
      </c>
      <c r="B66" s="49" t="s">
        <v>119</v>
      </c>
      <c r="C66" s="50" t="s">
        <v>153</v>
      </c>
      <c r="D66" s="51">
        <v>5.5</v>
      </c>
      <c r="E66" s="51">
        <v>5.8</v>
      </c>
      <c r="F66" s="51">
        <v>5.65</v>
      </c>
      <c r="G66" s="52">
        <v>130.0</v>
      </c>
      <c r="H66" s="52">
        <v>132.0</v>
      </c>
      <c r="I66" s="53">
        <v>1.0153846153846153</v>
      </c>
      <c r="J66" s="50" t="str">
        <f t="shared" si="1"/>
        <v>Average</v>
      </c>
    </row>
    <row r="67" ht="15.75" customHeight="1">
      <c r="A67" s="48" t="s">
        <v>121</v>
      </c>
      <c r="B67" s="49" t="s">
        <v>119</v>
      </c>
      <c r="C67" s="50" t="s">
        <v>157</v>
      </c>
      <c r="D67" s="51">
        <v>4.8</v>
      </c>
      <c r="E67" s="51">
        <v>6.1</v>
      </c>
      <c r="F67" s="51">
        <v>5.449999999999999</v>
      </c>
      <c r="G67" s="52">
        <v>400.0</v>
      </c>
      <c r="H67" s="52">
        <v>291.0</v>
      </c>
      <c r="I67" s="53">
        <v>0.7275</v>
      </c>
      <c r="J67" s="50" t="str">
        <f t="shared" si="1"/>
        <v>Average</v>
      </c>
    </row>
    <row r="68" ht="15.75" customHeight="1">
      <c r="A68" s="48" t="s">
        <v>30</v>
      </c>
      <c r="B68" s="49" t="s">
        <v>17</v>
      </c>
      <c r="C68" s="50" t="s">
        <v>153</v>
      </c>
      <c r="D68" s="51">
        <v>4.5</v>
      </c>
      <c r="E68" s="51">
        <v>6.2</v>
      </c>
      <c r="F68" s="51">
        <v>5.35</v>
      </c>
      <c r="G68" s="52">
        <v>400.0</v>
      </c>
      <c r="H68" s="52">
        <v>501.0</v>
      </c>
      <c r="I68" s="53">
        <v>1.2525</v>
      </c>
      <c r="J68" s="50" t="str">
        <f t="shared" si="1"/>
        <v>Average</v>
      </c>
    </row>
    <row r="69" ht="15.75" customHeight="1">
      <c r="A69" s="48" t="s">
        <v>24</v>
      </c>
      <c r="B69" s="49" t="s">
        <v>17</v>
      </c>
      <c r="C69" s="50" t="s">
        <v>152</v>
      </c>
      <c r="D69" s="51">
        <v>3.2</v>
      </c>
      <c r="E69" s="51">
        <v>5.8</v>
      </c>
      <c r="F69" s="51">
        <v>4.5</v>
      </c>
      <c r="G69" s="52">
        <v>225.0</v>
      </c>
      <c r="H69" s="52">
        <v>332.8</v>
      </c>
      <c r="I69" s="53">
        <v>1.4791111111111113</v>
      </c>
      <c r="J69" s="50" t="str">
        <f t="shared" si="1"/>
        <v>Flop</v>
      </c>
    </row>
    <row r="70" ht="15.75" customHeight="1">
      <c r="A70" s="48" t="s">
        <v>130</v>
      </c>
      <c r="B70" s="49" t="s">
        <v>119</v>
      </c>
      <c r="C70" s="50" t="s">
        <v>153</v>
      </c>
      <c r="D70" s="51">
        <v>4.2</v>
      </c>
      <c r="E70" s="51">
        <v>4.8</v>
      </c>
      <c r="F70" s="51">
        <v>4.5</v>
      </c>
      <c r="G70" s="52">
        <v>250.0</v>
      </c>
      <c r="H70" s="52">
        <v>174.0</v>
      </c>
      <c r="I70" s="53">
        <v>0.696</v>
      </c>
      <c r="J70" s="50" t="str">
        <f t="shared" si="1"/>
        <v>Flop</v>
      </c>
    </row>
    <row r="71" ht="15.75" customHeight="1">
      <c r="A71" s="48" t="s">
        <v>47</v>
      </c>
      <c r="B71" s="49" t="s">
        <v>38</v>
      </c>
      <c r="C71" s="50" t="s">
        <v>152</v>
      </c>
      <c r="D71" s="51">
        <v>4.0</v>
      </c>
      <c r="E71" s="51">
        <v>4.8</v>
      </c>
      <c r="F71" s="51">
        <v>4.4</v>
      </c>
      <c r="G71" s="52">
        <v>250.0</v>
      </c>
      <c r="H71" s="52">
        <v>207.0</v>
      </c>
      <c r="I71" s="53">
        <v>0.828</v>
      </c>
      <c r="J71" s="50" t="str">
        <f t="shared" si="1"/>
        <v>Flop</v>
      </c>
    </row>
    <row r="72" ht="15.75" customHeight="1">
      <c r="A72" s="57"/>
      <c r="B72" s="58"/>
      <c r="C72" s="59"/>
      <c r="D72" s="60"/>
      <c r="E72" s="60"/>
      <c r="F72" s="60"/>
      <c r="G72" s="61"/>
      <c r="H72" s="57"/>
      <c r="I72" s="62"/>
      <c r="J72" s="59"/>
    </row>
    <row r="73" ht="15.75" customHeight="1">
      <c r="A73" s="57"/>
      <c r="B73" s="58"/>
      <c r="C73" s="59"/>
      <c r="D73" s="60"/>
      <c r="E73" s="60"/>
      <c r="F73" s="60"/>
      <c r="G73" s="61"/>
      <c r="H73" s="57"/>
      <c r="I73" s="62"/>
      <c r="J73" s="59"/>
    </row>
    <row r="74" ht="15.75" customHeight="1">
      <c r="A74" s="57"/>
      <c r="B74" s="58"/>
      <c r="C74" s="59"/>
      <c r="D74" s="60"/>
      <c r="E74" s="60"/>
      <c r="F74" s="60"/>
      <c r="G74" s="61"/>
      <c r="H74" s="57"/>
      <c r="I74" s="62"/>
      <c r="J74" s="59"/>
    </row>
    <row r="75" ht="15.75" customHeight="1">
      <c r="A75" s="57"/>
      <c r="B75" s="58"/>
      <c r="C75" s="59"/>
      <c r="D75" s="60"/>
      <c r="E75" s="60"/>
      <c r="F75" s="60"/>
      <c r="G75" s="61"/>
      <c r="H75" s="57"/>
      <c r="I75" s="62"/>
      <c r="J75" s="59"/>
    </row>
    <row r="76" ht="15.75" customHeight="1">
      <c r="A76" s="57"/>
      <c r="B76" s="58"/>
      <c r="C76" s="59"/>
      <c r="D76" s="60"/>
      <c r="E76" s="60"/>
      <c r="F76" s="60"/>
      <c r="G76" s="61"/>
      <c r="H76" s="57"/>
      <c r="I76" s="62"/>
      <c r="J76" s="59"/>
    </row>
    <row r="77" ht="15.75" customHeight="1">
      <c r="A77" s="57"/>
      <c r="B77" s="58"/>
      <c r="C77" s="59"/>
      <c r="D77" s="60"/>
      <c r="E77" s="60"/>
      <c r="F77" s="60"/>
      <c r="G77" s="61"/>
      <c r="H77" s="57"/>
      <c r="I77" s="62"/>
      <c r="J77" s="59"/>
    </row>
    <row r="78" ht="15.75" customHeight="1">
      <c r="A78" s="57"/>
      <c r="B78" s="58"/>
      <c r="C78" s="59"/>
      <c r="D78" s="60"/>
      <c r="E78" s="60"/>
      <c r="F78" s="60"/>
      <c r="G78" s="61"/>
      <c r="H78" s="57"/>
      <c r="I78" s="62"/>
      <c r="J78" s="59"/>
    </row>
    <row r="79" ht="15.75" customHeight="1">
      <c r="A79" s="57"/>
      <c r="B79" s="58"/>
      <c r="C79" s="59"/>
      <c r="D79" s="60"/>
      <c r="E79" s="60"/>
      <c r="F79" s="60"/>
      <c r="G79" s="61"/>
      <c r="H79" s="57"/>
      <c r="I79" s="62"/>
      <c r="J79" s="59"/>
    </row>
    <row r="80" ht="15.75" customHeight="1">
      <c r="A80" s="57"/>
      <c r="B80" s="58"/>
      <c r="C80" s="59"/>
      <c r="D80" s="60"/>
      <c r="E80" s="60"/>
      <c r="F80" s="60"/>
      <c r="G80" s="61"/>
      <c r="H80" s="57"/>
      <c r="I80" s="62"/>
      <c r="J80" s="59"/>
    </row>
    <row r="81" ht="15.75" customHeight="1">
      <c r="A81" s="57"/>
      <c r="B81" s="58"/>
      <c r="C81" s="59"/>
      <c r="D81" s="60"/>
      <c r="E81" s="60"/>
      <c r="F81" s="60"/>
      <c r="G81" s="61"/>
      <c r="H81" s="57"/>
      <c r="I81" s="62"/>
      <c r="J81" s="59"/>
    </row>
    <row r="82" ht="15.75" customHeight="1">
      <c r="I82" s="63"/>
    </row>
    <row r="83" ht="15.75" customHeight="1">
      <c r="I83" s="63"/>
    </row>
    <row r="84" ht="15.75" customHeight="1">
      <c r="I84" s="63"/>
    </row>
    <row r="85" ht="15.75" customHeight="1">
      <c r="I85" s="63"/>
    </row>
    <row r="86" ht="15.75" customHeight="1">
      <c r="I86" s="63"/>
    </row>
    <row r="87" ht="15.75" customHeight="1">
      <c r="I87" s="63"/>
    </row>
    <row r="88" ht="15.75" customHeight="1">
      <c r="I88" s="63"/>
    </row>
    <row r="89" ht="15.75" customHeight="1">
      <c r="I89" s="63"/>
    </row>
    <row r="90" ht="15.75" customHeight="1">
      <c r="I90" s="63"/>
    </row>
    <row r="91" ht="15.75" customHeight="1">
      <c r="I91" s="63"/>
    </row>
    <row r="92" ht="15.75" customHeight="1">
      <c r="I92" s="63"/>
    </row>
    <row r="93" ht="15.75" customHeight="1">
      <c r="I93" s="63"/>
    </row>
    <row r="94" ht="15.75" customHeight="1">
      <c r="I94" s="63"/>
    </row>
    <row r="95" ht="15.75" customHeight="1">
      <c r="I95" s="63"/>
    </row>
    <row r="96" ht="15.75" customHeight="1">
      <c r="I96" s="63"/>
    </row>
    <row r="97" ht="15.75" customHeight="1">
      <c r="I97" s="63"/>
    </row>
    <row r="98" ht="15.75" customHeight="1">
      <c r="I98" s="63"/>
    </row>
    <row r="99" ht="15.75" customHeight="1">
      <c r="I99" s="63"/>
    </row>
    <row r="100" ht="15.75" customHeight="1">
      <c r="I100" s="63"/>
    </row>
    <row r="101" ht="15.75" customHeight="1">
      <c r="I101" s="63"/>
    </row>
    <row r="102" ht="15.75" customHeight="1">
      <c r="I102" s="63"/>
    </row>
    <row r="103" ht="15.75" customHeight="1">
      <c r="I103" s="63"/>
    </row>
    <row r="104" ht="15.75" customHeight="1">
      <c r="I104" s="63"/>
    </row>
    <row r="105" ht="15.75" customHeight="1">
      <c r="I105" s="63"/>
    </row>
    <row r="106" ht="15.75" customHeight="1">
      <c r="I106" s="63"/>
    </row>
    <row r="107" ht="15.75" customHeight="1">
      <c r="I107" s="63"/>
    </row>
    <row r="108" ht="15.75" customHeight="1">
      <c r="I108" s="63"/>
    </row>
    <row r="109" ht="15.75" customHeight="1">
      <c r="I109" s="63"/>
    </row>
    <row r="110" ht="15.75" customHeight="1">
      <c r="I110" s="63"/>
    </row>
    <row r="111" ht="15.75" customHeight="1">
      <c r="I111" s="63"/>
    </row>
    <row r="112" ht="15.75" customHeight="1">
      <c r="I112" s="63"/>
    </row>
    <row r="113" ht="15.75" customHeight="1">
      <c r="I113" s="63"/>
    </row>
    <row r="114" ht="15.75" customHeight="1">
      <c r="I114" s="63"/>
    </row>
    <row r="115" ht="15.75" customHeight="1">
      <c r="I115" s="63"/>
    </row>
    <row r="116" ht="15.75" customHeight="1">
      <c r="I116" s="63"/>
    </row>
    <row r="117" ht="15.75" customHeight="1">
      <c r="I117" s="63"/>
    </row>
    <row r="118" ht="15.75" customHeight="1">
      <c r="I118" s="63"/>
    </row>
    <row r="119" ht="15.75" customHeight="1">
      <c r="I119" s="63"/>
    </row>
    <row r="120" ht="15.75" customHeight="1">
      <c r="I120" s="63"/>
    </row>
    <row r="121" ht="15.75" customHeight="1">
      <c r="I121" s="63"/>
    </row>
    <row r="122" ht="15.75" customHeight="1">
      <c r="I122" s="63"/>
    </row>
    <row r="123" ht="15.75" customHeight="1">
      <c r="I123" s="63"/>
    </row>
    <row r="124" ht="15.75" customHeight="1">
      <c r="I124" s="63"/>
    </row>
    <row r="125" ht="15.75" customHeight="1">
      <c r="I125" s="63"/>
    </row>
    <row r="126" ht="15.75" customHeight="1">
      <c r="I126" s="63"/>
    </row>
    <row r="127" ht="15.75" customHeight="1">
      <c r="I127" s="63"/>
    </row>
    <row r="128" ht="15.75" customHeight="1">
      <c r="I128" s="63"/>
    </row>
    <row r="129" ht="15.75" customHeight="1">
      <c r="I129" s="63"/>
    </row>
    <row r="130" ht="15.75" customHeight="1">
      <c r="I130" s="63"/>
    </row>
    <row r="131" ht="15.75" customHeight="1">
      <c r="I131" s="63"/>
    </row>
    <row r="132" ht="15.75" customHeight="1">
      <c r="I132" s="63"/>
    </row>
    <row r="133" ht="15.75" customHeight="1">
      <c r="I133" s="63"/>
    </row>
    <row r="134" ht="15.75" customHeight="1">
      <c r="I134" s="63"/>
    </row>
    <row r="135" ht="15.75" customHeight="1">
      <c r="I135" s="63"/>
    </row>
    <row r="136" ht="15.75" customHeight="1">
      <c r="I136" s="63"/>
    </row>
    <row r="137" ht="15.75" customHeight="1">
      <c r="I137" s="63"/>
    </row>
    <row r="138" ht="15.75" customHeight="1">
      <c r="I138" s="63"/>
    </row>
    <row r="139" ht="15.75" customHeight="1">
      <c r="I139" s="63"/>
    </row>
    <row r="140" ht="15.75" customHeight="1">
      <c r="I140" s="63"/>
    </row>
    <row r="141" ht="15.75" customHeight="1">
      <c r="I141" s="63"/>
    </row>
    <row r="142" ht="15.75" customHeight="1">
      <c r="I142" s="63"/>
    </row>
    <row r="143" ht="15.75" customHeight="1">
      <c r="I143" s="63"/>
    </row>
    <row r="144" ht="15.75" customHeight="1">
      <c r="I144" s="63"/>
    </row>
    <row r="145" ht="15.75" customHeight="1">
      <c r="I145" s="63"/>
    </row>
    <row r="146" ht="15.75" customHeight="1">
      <c r="I146" s="63"/>
    </row>
    <row r="147" ht="15.75" customHeight="1">
      <c r="I147" s="63"/>
    </row>
    <row r="148" ht="15.75" customHeight="1">
      <c r="I148" s="63"/>
    </row>
    <row r="149" ht="15.75" customHeight="1">
      <c r="I149" s="63"/>
    </row>
    <row r="150" ht="15.75" customHeight="1">
      <c r="I150" s="63"/>
    </row>
    <row r="151" ht="15.75" customHeight="1">
      <c r="I151" s="63"/>
    </row>
    <row r="152" ht="15.75" customHeight="1">
      <c r="I152" s="63"/>
    </row>
    <row r="153" ht="15.75" customHeight="1">
      <c r="I153" s="63"/>
    </row>
    <row r="154" ht="15.75" customHeight="1">
      <c r="I154" s="63"/>
    </row>
    <row r="155" ht="15.75" customHeight="1">
      <c r="I155" s="63"/>
    </row>
    <row r="156" ht="15.75" customHeight="1">
      <c r="I156" s="63"/>
    </row>
    <row r="157" ht="15.75" customHeight="1">
      <c r="I157" s="63"/>
    </row>
    <row r="158" ht="15.75" customHeight="1">
      <c r="I158" s="63"/>
    </row>
    <row r="159" ht="15.75" customHeight="1">
      <c r="I159" s="63"/>
    </row>
    <row r="160" ht="15.75" customHeight="1">
      <c r="I160" s="63"/>
    </row>
    <row r="161" ht="15.75" customHeight="1">
      <c r="I161" s="63"/>
    </row>
    <row r="162" ht="15.75" customHeight="1">
      <c r="I162" s="63"/>
    </row>
    <row r="163" ht="15.75" customHeight="1">
      <c r="I163" s="63"/>
    </row>
    <row r="164" ht="15.75" customHeight="1">
      <c r="I164" s="63"/>
    </row>
    <row r="165" ht="15.75" customHeight="1">
      <c r="I165" s="63"/>
    </row>
    <row r="166" ht="15.75" customHeight="1">
      <c r="I166" s="63"/>
    </row>
    <row r="167" ht="15.75" customHeight="1">
      <c r="I167" s="63"/>
    </row>
    <row r="168" ht="15.75" customHeight="1">
      <c r="I168" s="63"/>
    </row>
    <row r="169" ht="15.75" customHeight="1">
      <c r="I169" s="63"/>
    </row>
    <row r="170" ht="15.75" customHeight="1">
      <c r="I170" s="63"/>
    </row>
    <row r="171" ht="15.75" customHeight="1">
      <c r="I171" s="63"/>
    </row>
    <row r="172" ht="15.75" customHeight="1">
      <c r="I172" s="63"/>
    </row>
    <row r="173" ht="15.75" customHeight="1">
      <c r="I173" s="63"/>
    </row>
    <row r="174" ht="15.75" customHeight="1">
      <c r="I174" s="63"/>
    </row>
    <row r="175" ht="15.75" customHeight="1">
      <c r="I175" s="63"/>
    </row>
    <row r="176" ht="15.75" customHeight="1">
      <c r="I176" s="63"/>
    </row>
    <row r="177" ht="15.75" customHeight="1">
      <c r="I177" s="63"/>
    </row>
    <row r="178" ht="15.75" customHeight="1">
      <c r="I178" s="63"/>
    </row>
    <row r="179" ht="15.75" customHeight="1">
      <c r="I179" s="63"/>
    </row>
    <row r="180" ht="15.75" customHeight="1">
      <c r="I180" s="63"/>
    </row>
    <row r="181" ht="15.75" customHeight="1">
      <c r="I181" s="63"/>
    </row>
    <row r="182" ht="15.75" customHeight="1">
      <c r="I182" s="63"/>
    </row>
    <row r="183" ht="15.75" customHeight="1">
      <c r="I183" s="63"/>
    </row>
    <row r="184" ht="15.75" customHeight="1">
      <c r="I184" s="63"/>
    </row>
    <row r="185" ht="15.75" customHeight="1">
      <c r="I185" s="63"/>
    </row>
    <row r="186" ht="15.75" customHeight="1">
      <c r="I186" s="63"/>
    </row>
    <row r="187" ht="15.75" customHeight="1">
      <c r="I187" s="63"/>
    </row>
    <row r="188" ht="15.75" customHeight="1">
      <c r="I188" s="63"/>
    </row>
    <row r="189" ht="15.75" customHeight="1">
      <c r="I189" s="63"/>
    </row>
    <row r="190" ht="15.75" customHeight="1">
      <c r="I190" s="63"/>
    </row>
    <row r="191" ht="15.75" customHeight="1">
      <c r="I191" s="63"/>
    </row>
    <row r="192" ht="15.75" customHeight="1">
      <c r="I192" s="63"/>
    </row>
    <row r="193" ht="15.75" customHeight="1">
      <c r="I193" s="63"/>
    </row>
    <row r="194" ht="15.75" customHeight="1">
      <c r="I194" s="63"/>
    </row>
    <row r="195" ht="15.75" customHeight="1">
      <c r="I195" s="63"/>
    </row>
    <row r="196" ht="15.75" customHeight="1">
      <c r="I196" s="63"/>
    </row>
    <row r="197" ht="15.75" customHeight="1">
      <c r="I197" s="63"/>
    </row>
    <row r="198" ht="15.75" customHeight="1">
      <c r="I198" s="63"/>
    </row>
    <row r="199" ht="15.75" customHeight="1">
      <c r="I199" s="63"/>
    </row>
    <row r="200" ht="15.75" customHeight="1">
      <c r="I200" s="63"/>
    </row>
    <row r="201" ht="15.75" customHeight="1">
      <c r="I201" s="63"/>
    </row>
    <row r="202" ht="15.75" customHeight="1">
      <c r="I202" s="63"/>
    </row>
    <row r="203" ht="15.75" customHeight="1">
      <c r="I203" s="63"/>
    </row>
    <row r="204" ht="15.75" customHeight="1">
      <c r="I204" s="63"/>
    </row>
    <row r="205" ht="15.75" customHeight="1">
      <c r="I205" s="63"/>
    </row>
    <row r="206" ht="15.75" customHeight="1">
      <c r="I206" s="63"/>
    </row>
    <row r="207" ht="15.75" customHeight="1">
      <c r="I207" s="63"/>
    </row>
    <row r="208" ht="15.75" customHeight="1">
      <c r="I208" s="63"/>
    </row>
    <row r="209" ht="15.75" customHeight="1">
      <c r="I209" s="63"/>
    </row>
    <row r="210" ht="15.75" customHeight="1">
      <c r="I210" s="63"/>
    </row>
    <row r="211" ht="15.75" customHeight="1">
      <c r="I211" s="63"/>
    </row>
    <row r="212" ht="15.75" customHeight="1">
      <c r="I212" s="63"/>
    </row>
    <row r="213" ht="15.75" customHeight="1">
      <c r="I213" s="63"/>
    </row>
    <row r="214" ht="15.75" customHeight="1">
      <c r="I214" s="63"/>
    </row>
    <row r="215" ht="15.75" customHeight="1">
      <c r="I215" s="63"/>
    </row>
    <row r="216" ht="15.75" customHeight="1">
      <c r="I216" s="63"/>
    </row>
    <row r="217" ht="15.75" customHeight="1">
      <c r="I217" s="63"/>
    </row>
    <row r="218" ht="15.75" customHeight="1">
      <c r="I218" s="63"/>
    </row>
    <row r="219" ht="15.75" customHeight="1">
      <c r="I219" s="63"/>
    </row>
    <row r="220" ht="15.75" customHeight="1">
      <c r="I220" s="63"/>
    </row>
    <row r="221" ht="15.75" customHeight="1">
      <c r="I221" s="63"/>
    </row>
    <row r="222" ht="15.75" customHeight="1">
      <c r="I222" s="63"/>
    </row>
    <row r="223" ht="15.75" customHeight="1">
      <c r="I223" s="63"/>
    </row>
    <row r="224" ht="15.75" customHeight="1">
      <c r="I224" s="63"/>
    </row>
    <row r="225" ht="15.75" customHeight="1">
      <c r="I225" s="63"/>
    </row>
    <row r="226" ht="15.75" customHeight="1">
      <c r="I226" s="63"/>
    </row>
    <row r="227" ht="15.75" customHeight="1">
      <c r="I227" s="63"/>
    </row>
    <row r="228" ht="15.75" customHeight="1">
      <c r="I228" s="63"/>
    </row>
    <row r="229" ht="15.75" customHeight="1">
      <c r="I229" s="63"/>
    </row>
    <row r="230" ht="15.75" customHeight="1">
      <c r="I230" s="63"/>
    </row>
    <row r="231" ht="15.75" customHeight="1">
      <c r="I231" s="63"/>
    </row>
    <row r="232" ht="15.75" customHeight="1">
      <c r="I232" s="63"/>
    </row>
    <row r="233" ht="15.75" customHeight="1">
      <c r="I233" s="63"/>
    </row>
    <row r="234" ht="15.75" customHeight="1">
      <c r="I234" s="63"/>
    </row>
    <row r="235" ht="15.75" customHeight="1">
      <c r="I235" s="63"/>
    </row>
    <row r="236" ht="15.75" customHeight="1">
      <c r="I236" s="63"/>
    </row>
    <row r="237" ht="15.75" customHeight="1">
      <c r="I237" s="63"/>
    </row>
    <row r="238" ht="15.75" customHeight="1">
      <c r="I238" s="63"/>
    </row>
    <row r="239" ht="15.75" customHeight="1">
      <c r="I239" s="63"/>
    </row>
    <row r="240" ht="15.75" customHeight="1">
      <c r="I240" s="63"/>
    </row>
    <row r="241" ht="15.75" customHeight="1">
      <c r="I241" s="63"/>
    </row>
    <row r="242" ht="15.75" customHeight="1">
      <c r="I242" s="63"/>
    </row>
    <row r="243" ht="15.75" customHeight="1">
      <c r="I243" s="63"/>
    </row>
    <row r="244" ht="15.75" customHeight="1">
      <c r="I244" s="63"/>
    </row>
    <row r="245" ht="15.75" customHeight="1">
      <c r="I245" s="63"/>
    </row>
    <row r="246" ht="15.75" customHeight="1">
      <c r="I246" s="63"/>
    </row>
    <row r="247" ht="15.75" customHeight="1">
      <c r="I247" s="63"/>
    </row>
    <row r="248" ht="15.75" customHeight="1">
      <c r="I248" s="63"/>
    </row>
    <row r="249" ht="15.75" customHeight="1">
      <c r="I249" s="63"/>
    </row>
    <row r="250" ht="15.75" customHeight="1">
      <c r="I250" s="63"/>
    </row>
    <row r="251" ht="15.75" customHeight="1">
      <c r="I251" s="63"/>
    </row>
    <row r="252" ht="15.75" customHeight="1">
      <c r="I252" s="63"/>
    </row>
    <row r="253" ht="15.75" customHeight="1">
      <c r="I253" s="63"/>
    </row>
    <row r="254" ht="15.75" customHeight="1">
      <c r="I254" s="63"/>
    </row>
    <row r="255" ht="15.75" customHeight="1">
      <c r="I255" s="63"/>
    </row>
    <row r="256" ht="15.75" customHeight="1">
      <c r="I256" s="63"/>
    </row>
    <row r="257" ht="15.75" customHeight="1">
      <c r="I257" s="63"/>
    </row>
    <row r="258" ht="15.75" customHeight="1">
      <c r="I258" s="63"/>
    </row>
    <row r="259" ht="15.75" customHeight="1">
      <c r="I259" s="63"/>
    </row>
    <row r="260" ht="15.75" customHeight="1">
      <c r="I260" s="63"/>
    </row>
    <row r="261" ht="15.75" customHeight="1">
      <c r="I261" s="63"/>
    </row>
    <row r="262" ht="15.75" customHeight="1">
      <c r="I262" s="63"/>
    </row>
    <row r="263" ht="15.75" customHeight="1">
      <c r="I263" s="63"/>
    </row>
    <row r="264" ht="15.75" customHeight="1">
      <c r="I264" s="63"/>
    </row>
    <row r="265" ht="15.75" customHeight="1">
      <c r="I265" s="63"/>
    </row>
    <row r="266" ht="15.75" customHeight="1">
      <c r="I266" s="63"/>
    </row>
    <row r="267" ht="15.75" customHeight="1">
      <c r="I267" s="63"/>
    </row>
    <row r="268" ht="15.75" customHeight="1">
      <c r="I268" s="63"/>
    </row>
    <row r="269" ht="15.75" customHeight="1">
      <c r="I269" s="63"/>
    </row>
    <row r="270" ht="15.75" customHeight="1">
      <c r="I270" s="63"/>
    </row>
    <row r="271" ht="15.75" customHeight="1">
      <c r="I271" s="63"/>
    </row>
    <row r="272" ht="15.75" customHeight="1">
      <c r="I272" s="63"/>
    </row>
    <row r="273" ht="15.75" customHeight="1">
      <c r="I273" s="63"/>
    </row>
    <row r="274" ht="15.75" customHeight="1">
      <c r="I274" s="63"/>
    </row>
    <row r="275" ht="15.75" customHeight="1">
      <c r="I275" s="63"/>
    </row>
    <row r="276" ht="15.75" customHeight="1">
      <c r="I276" s="63"/>
    </row>
    <row r="277" ht="15.75" customHeight="1">
      <c r="I277" s="63"/>
    </row>
    <row r="278" ht="15.75" customHeight="1">
      <c r="I278" s="63"/>
    </row>
    <row r="279" ht="15.75" customHeight="1">
      <c r="I279" s="63"/>
    </row>
    <row r="280" ht="15.75" customHeight="1">
      <c r="I280" s="63"/>
    </row>
    <row r="281" ht="15.75" customHeight="1">
      <c r="I281" s="63"/>
    </row>
    <row r="282" ht="15.75" customHeight="1">
      <c r="I282" s="63"/>
    </row>
    <row r="283" ht="15.75" customHeight="1">
      <c r="I283" s="63"/>
    </row>
    <row r="284" ht="15.75" customHeight="1">
      <c r="I284" s="63"/>
    </row>
    <row r="285" ht="15.75" customHeight="1">
      <c r="I285" s="63"/>
    </row>
    <row r="286" ht="15.75" customHeight="1">
      <c r="I286" s="63"/>
    </row>
    <row r="287" ht="15.75" customHeight="1">
      <c r="I287" s="63"/>
    </row>
    <row r="288" ht="15.75" customHeight="1">
      <c r="I288" s="63"/>
    </row>
    <row r="289" ht="15.75" customHeight="1">
      <c r="I289" s="63"/>
    </row>
    <row r="290" ht="15.75" customHeight="1">
      <c r="I290" s="63"/>
    </row>
    <row r="291" ht="15.75" customHeight="1">
      <c r="I291" s="63"/>
    </row>
    <row r="292" ht="15.75" customHeight="1">
      <c r="I292" s="63"/>
    </row>
    <row r="293" ht="15.75" customHeight="1">
      <c r="I293" s="63"/>
    </row>
    <row r="294" ht="15.75" customHeight="1">
      <c r="I294" s="63"/>
    </row>
    <row r="295" ht="15.75" customHeight="1">
      <c r="I295" s="63"/>
    </row>
    <row r="296" ht="15.75" customHeight="1">
      <c r="I296" s="63"/>
    </row>
    <row r="297" ht="15.75" customHeight="1">
      <c r="I297" s="63"/>
    </row>
    <row r="298" ht="15.75" customHeight="1">
      <c r="I298" s="63"/>
    </row>
    <row r="299" ht="15.75" customHeight="1">
      <c r="I299" s="63"/>
    </row>
    <row r="300" ht="15.75" customHeight="1">
      <c r="I300" s="63"/>
    </row>
    <row r="301" ht="15.75" customHeight="1">
      <c r="I301" s="63"/>
    </row>
    <row r="302" ht="15.75" customHeight="1">
      <c r="I302" s="63"/>
    </row>
    <row r="303" ht="15.75" customHeight="1">
      <c r="I303" s="63"/>
    </row>
    <row r="304" ht="15.75" customHeight="1">
      <c r="I304" s="63"/>
    </row>
    <row r="305" ht="15.75" customHeight="1">
      <c r="I305" s="63"/>
    </row>
    <row r="306" ht="15.75" customHeight="1">
      <c r="I306" s="63"/>
    </row>
    <row r="307" ht="15.75" customHeight="1">
      <c r="I307" s="63"/>
    </row>
    <row r="308" ht="15.75" customHeight="1">
      <c r="I308" s="63"/>
    </row>
    <row r="309" ht="15.75" customHeight="1">
      <c r="I309" s="63"/>
    </row>
    <row r="310" ht="15.75" customHeight="1">
      <c r="I310" s="63"/>
    </row>
    <row r="311" ht="15.75" customHeight="1">
      <c r="I311" s="63"/>
    </row>
    <row r="312" ht="15.75" customHeight="1">
      <c r="I312" s="63"/>
    </row>
    <row r="313" ht="15.75" customHeight="1">
      <c r="I313" s="63"/>
    </row>
    <row r="314" ht="15.75" customHeight="1">
      <c r="I314" s="63"/>
    </row>
    <row r="315" ht="15.75" customHeight="1">
      <c r="I315" s="63"/>
    </row>
    <row r="316" ht="15.75" customHeight="1">
      <c r="I316" s="63"/>
    </row>
    <row r="317" ht="15.75" customHeight="1">
      <c r="I317" s="63"/>
    </row>
    <row r="318" ht="15.75" customHeight="1">
      <c r="I318" s="63"/>
    </row>
    <row r="319" ht="15.75" customHeight="1">
      <c r="I319" s="63"/>
    </row>
    <row r="320" ht="15.75" customHeight="1">
      <c r="I320" s="63"/>
    </row>
    <row r="321" ht="15.75" customHeight="1">
      <c r="I321" s="63"/>
    </row>
    <row r="322" ht="15.75" customHeight="1">
      <c r="I322" s="63"/>
    </row>
    <row r="323" ht="15.75" customHeight="1">
      <c r="I323" s="63"/>
    </row>
    <row r="324" ht="15.75" customHeight="1">
      <c r="I324" s="63"/>
    </row>
    <row r="325" ht="15.75" customHeight="1">
      <c r="I325" s="63"/>
    </row>
    <row r="326" ht="15.75" customHeight="1">
      <c r="I326" s="63"/>
    </row>
    <row r="327" ht="15.75" customHeight="1">
      <c r="I327" s="63"/>
    </row>
    <row r="328" ht="15.75" customHeight="1">
      <c r="I328" s="63"/>
    </row>
    <row r="329" ht="15.75" customHeight="1">
      <c r="I329" s="63"/>
    </row>
    <row r="330" ht="15.75" customHeight="1">
      <c r="I330" s="63"/>
    </row>
    <row r="331" ht="15.75" customHeight="1">
      <c r="I331" s="63"/>
    </row>
    <row r="332" ht="15.75" customHeight="1">
      <c r="I332" s="63"/>
    </row>
    <row r="333" ht="15.75" customHeight="1">
      <c r="I333" s="63"/>
    </row>
    <row r="334" ht="15.75" customHeight="1">
      <c r="I334" s="63"/>
    </row>
    <row r="335" ht="15.75" customHeight="1">
      <c r="I335" s="63"/>
    </row>
    <row r="336" ht="15.75" customHeight="1">
      <c r="I336" s="63"/>
    </row>
    <row r="337" ht="15.75" customHeight="1">
      <c r="I337" s="63"/>
    </row>
    <row r="338" ht="15.75" customHeight="1">
      <c r="I338" s="63"/>
    </row>
    <row r="339" ht="15.75" customHeight="1">
      <c r="I339" s="63"/>
    </row>
    <row r="340" ht="15.75" customHeight="1">
      <c r="I340" s="63"/>
    </row>
    <row r="341" ht="15.75" customHeight="1">
      <c r="I341" s="63"/>
    </row>
    <row r="342" ht="15.75" customHeight="1">
      <c r="I342" s="63"/>
    </row>
    <row r="343" ht="15.75" customHeight="1">
      <c r="I343" s="63"/>
    </row>
    <row r="344" ht="15.75" customHeight="1">
      <c r="I344" s="63"/>
    </row>
    <row r="345" ht="15.75" customHeight="1">
      <c r="I345" s="63"/>
    </row>
    <row r="346" ht="15.75" customHeight="1">
      <c r="I346" s="63"/>
    </row>
    <row r="347" ht="15.75" customHeight="1">
      <c r="I347" s="63"/>
    </row>
    <row r="348" ht="15.75" customHeight="1">
      <c r="I348" s="63"/>
    </row>
    <row r="349" ht="15.75" customHeight="1">
      <c r="I349" s="63"/>
    </row>
    <row r="350" ht="15.75" customHeight="1">
      <c r="I350" s="63"/>
    </row>
    <row r="351" ht="15.75" customHeight="1">
      <c r="I351" s="63"/>
    </row>
    <row r="352" ht="15.75" customHeight="1">
      <c r="I352" s="63"/>
    </row>
    <row r="353" ht="15.75" customHeight="1">
      <c r="I353" s="63"/>
    </row>
    <row r="354" ht="15.75" customHeight="1">
      <c r="I354" s="63"/>
    </row>
    <row r="355" ht="15.75" customHeight="1">
      <c r="I355" s="63"/>
    </row>
    <row r="356" ht="15.75" customHeight="1">
      <c r="I356" s="63"/>
    </row>
    <row r="357" ht="15.75" customHeight="1">
      <c r="I357" s="63"/>
    </row>
    <row r="358" ht="15.75" customHeight="1">
      <c r="I358" s="63"/>
    </row>
    <row r="359" ht="15.75" customHeight="1">
      <c r="I359" s="63"/>
    </row>
    <row r="360" ht="15.75" customHeight="1">
      <c r="I360" s="63"/>
    </row>
    <row r="361" ht="15.75" customHeight="1">
      <c r="I361" s="63"/>
    </row>
    <row r="362" ht="15.75" customHeight="1">
      <c r="I362" s="63"/>
    </row>
    <row r="363" ht="15.75" customHeight="1">
      <c r="I363" s="63"/>
    </row>
    <row r="364" ht="15.75" customHeight="1">
      <c r="I364" s="63"/>
    </row>
    <row r="365" ht="15.75" customHeight="1">
      <c r="I365" s="63"/>
    </row>
    <row r="366" ht="15.75" customHeight="1">
      <c r="I366" s="63"/>
    </row>
    <row r="367" ht="15.75" customHeight="1">
      <c r="I367" s="63"/>
    </row>
    <row r="368" ht="15.75" customHeight="1">
      <c r="I368" s="63"/>
    </row>
    <row r="369" ht="15.75" customHeight="1">
      <c r="I369" s="63"/>
    </row>
    <row r="370" ht="15.75" customHeight="1">
      <c r="I370" s="63"/>
    </row>
    <row r="371" ht="15.75" customHeight="1">
      <c r="I371" s="63"/>
    </row>
    <row r="372" ht="15.75" customHeight="1">
      <c r="I372" s="63"/>
    </row>
    <row r="373" ht="15.75" customHeight="1">
      <c r="I373" s="63"/>
    </row>
    <row r="374" ht="15.75" customHeight="1">
      <c r="I374" s="63"/>
    </row>
    <row r="375" ht="15.75" customHeight="1">
      <c r="I375" s="63"/>
    </row>
    <row r="376" ht="15.75" customHeight="1">
      <c r="I376" s="63"/>
    </row>
    <row r="377" ht="15.75" customHeight="1">
      <c r="I377" s="63"/>
    </row>
    <row r="378" ht="15.75" customHeight="1">
      <c r="I378" s="63"/>
    </row>
    <row r="379" ht="15.75" customHeight="1">
      <c r="I379" s="63"/>
    </row>
    <row r="380" ht="15.75" customHeight="1">
      <c r="I380" s="63"/>
    </row>
    <row r="381" ht="15.75" customHeight="1">
      <c r="I381" s="63"/>
    </row>
    <row r="382" ht="15.75" customHeight="1">
      <c r="I382" s="63"/>
    </row>
    <row r="383" ht="15.75" customHeight="1">
      <c r="I383" s="63"/>
    </row>
    <row r="384" ht="15.75" customHeight="1">
      <c r="I384" s="63"/>
    </row>
    <row r="385" ht="15.75" customHeight="1">
      <c r="I385" s="63"/>
    </row>
    <row r="386" ht="15.75" customHeight="1">
      <c r="I386" s="63"/>
    </row>
    <row r="387" ht="15.75" customHeight="1">
      <c r="I387" s="63"/>
    </row>
    <row r="388" ht="15.75" customHeight="1">
      <c r="I388" s="63"/>
    </row>
    <row r="389" ht="15.75" customHeight="1">
      <c r="I389" s="63"/>
    </row>
    <row r="390" ht="15.75" customHeight="1">
      <c r="I390" s="63"/>
    </row>
    <row r="391" ht="15.75" customHeight="1">
      <c r="I391" s="63"/>
    </row>
    <row r="392" ht="15.75" customHeight="1">
      <c r="I392" s="63"/>
    </row>
    <row r="393" ht="15.75" customHeight="1">
      <c r="I393" s="63"/>
    </row>
    <row r="394" ht="15.75" customHeight="1">
      <c r="I394" s="63"/>
    </row>
    <row r="395" ht="15.75" customHeight="1">
      <c r="I395" s="63"/>
    </row>
    <row r="396" ht="15.75" customHeight="1">
      <c r="I396" s="63"/>
    </row>
    <row r="397" ht="15.75" customHeight="1">
      <c r="I397" s="63"/>
    </row>
    <row r="398" ht="15.75" customHeight="1">
      <c r="I398" s="63"/>
    </row>
    <row r="399" ht="15.75" customHeight="1">
      <c r="I399" s="63"/>
    </row>
    <row r="400" ht="15.75" customHeight="1">
      <c r="I400" s="63"/>
    </row>
    <row r="401" ht="15.75" customHeight="1">
      <c r="I401" s="63"/>
    </row>
    <row r="402" ht="15.75" customHeight="1">
      <c r="I402" s="63"/>
    </row>
    <row r="403" ht="15.75" customHeight="1">
      <c r="I403" s="63"/>
    </row>
    <row r="404" ht="15.75" customHeight="1">
      <c r="I404" s="63"/>
    </row>
    <row r="405" ht="15.75" customHeight="1">
      <c r="I405" s="63"/>
    </row>
    <row r="406" ht="15.75" customHeight="1">
      <c r="I406" s="63"/>
    </row>
    <row r="407" ht="15.75" customHeight="1">
      <c r="I407" s="63"/>
    </row>
    <row r="408" ht="15.75" customHeight="1">
      <c r="I408" s="63"/>
    </row>
    <row r="409" ht="15.75" customHeight="1">
      <c r="I409" s="63"/>
    </row>
    <row r="410" ht="15.75" customHeight="1">
      <c r="I410" s="63"/>
    </row>
    <row r="411" ht="15.75" customHeight="1">
      <c r="I411" s="63"/>
    </row>
    <row r="412" ht="15.75" customHeight="1">
      <c r="I412" s="63"/>
    </row>
    <row r="413" ht="15.75" customHeight="1">
      <c r="I413" s="63"/>
    </row>
    <row r="414" ht="15.75" customHeight="1">
      <c r="I414" s="63"/>
    </row>
    <row r="415" ht="15.75" customHeight="1">
      <c r="I415" s="63"/>
    </row>
    <row r="416" ht="15.75" customHeight="1">
      <c r="I416" s="63"/>
    </row>
    <row r="417" ht="15.75" customHeight="1">
      <c r="I417" s="63"/>
    </row>
    <row r="418" ht="15.75" customHeight="1">
      <c r="I418" s="63"/>
    </row>
    <row r="419" ht="15.75" customHeight="1">
      <c r="I419" s="63"/>
    </row>
    <row r="420" ht="15.75" customHeight="1">
      <c r="I420" s="63"/>
    </row>
    <row r="421" ht="15.75" customHeight="1">
      <c r="I421" s="63"/>
    </row>
    <row r="422" ht="15.75" customHeight="1">
      <c r="I422" s="63"/>
    </row>
    <row r="423" ht="15.75" customHeight="1">
      <c r="I423" s="63"/>
    </row>
    <row r="424" ht="15.75" customHeight="1">
      <c r="I424" s="63"/>
    </row>
    <row r="425" ht="15.75" customHeight="1">
      <c r="I425" s="63"/>
    </row>
    <row r="426" ht="15.75" customHeight="1">
      <c r="I426" s="63"/>
    </row>
    <row r="427" ht="15.75" customHeight="1">
      <c r="I427" s="63"/>
    </row>
    <row r="428" ht="15.75" customHeight="1">
      <c r="I428" s="63"/>
    </row>
    <row r="429" ht="15.75" customHeight="1">
      <c r="I429" s="63"/>
    </row>
    <row r="430" ht="15.75" customHeight="1">
      <c r="I430" s="63"/>
    </row>
    <row r="431" ht="15.75" customHeight="1">
      <c r="I431" s="63"/>
    </row>
    <row r="432" ht="15.75" customHeight="1">
      <c r="I432" s="63"/>
    </row>
    <row r="433" ht="15.75" customHeight="1">
      <c r="I433" s="63"/>
    </row>
    <row r="434" ht="15.75" customHeight="1">
      <c r="I434" s="63"/>
    </row>
    <row r="435" ht="15.75" customHeight="1">
      <c r="I435" s="63"/>
    </row>
    <row r="436" ht="15.75" customHeight="1">
      <c r="I436" s="63"/>
    </row>
    <row r="437" ht="15.75" customHeight="1">
      <c r="I437" s="63"/>
    </row>
    <row r="438" ht="15.75" customHeight="1">
      <c r="I438" s="63"/>
    </row>
    <row r="439" ht="15.75" customHeight="1">
      <c r="I439" s="63"/>
    </row>
    <row r="440" ht="15.75" customHeight="1">
      <c r="I440" s="63"/>
    </row>
    <row r="441" ht="15.75" customHeight="1">
      <c r="I441" s="63"/>
    </row>
    <row r="442" ht="15.75" customHeight="1">
      <c r="I442" s="63"/>
    </row>
    <row r="443" ht="15.75" customHeight="1">
      <c r="I443" s="63"/>
    </row>
    <row r="444" ht="15.75" customHeight="1">
      <c r="I444" s="63"/>
    </row>
    <row r="445" ht="15.75" customHeight="1">
      <c r="I445" s="63"/>
    </row>
    <row r="446" ht="15.75" customHeight="1">
      <c r="I446" s="63"/>
    </row>
    <row r="447" ht="15.75" customHeight="1">
      <c r="I447" s="63"/>
    </row>
    <row r="448" ht="15.75" customHeight="1">
      <c r="I448" s="63"/>
    </row>
    <row r="449" ht="15.75" customHeight="1">
      <c r="I449" s="63"/>
    </row>
    <row r="450" ht="15.75" customHeight="1">
      <c r="I450" s="63"/>
    </row>
    <row r="451" ht="15.75" customHeight="1">
      <c r="I451" s="63"/>
    </row>
    <row r="452" ht="15.75" customHeight="1">
      <c r="I452" s="63"/>
    </row>
    <row r="453" ht="15.75" customHeight="1">
      <c r="I453" s="63"/>
    </row>
    <row r="454" ht="15.75" customHeight="1">
      <c r="I454" s="63"/>
    </row>
    <row r="455" ht="15.75" customHeight="1">
      <c r="I455" s="63"/>
    </row>
    <row r="456" ht="15.75" customHeight="1">
      <c r="I456" s="63"/>
    </row>
    <row r="457" ht="15.75" customHeight="1">
      <c r="I457" s="63"/>
    </row>
    <row r="458" ht="15.75" customHeight="1">
      <c r="I458" s="63"/>
    </row>
    <row r="459" ht="15.75" customHeight="1">
      <c r="I459" s="63"/>
    </row>
    <row r="460" ht="15.75" customHeight="1">
      <c r="I460" s="63"/>
    </row>
    <row r="461" ht="15.75" customHeight="1">
      <c r="I461" s="63"/>
    </row>
    <row r="462" ht="15.75" customHeight="1">
      <c r="I462" s="63"/>
    </row>
    <row r="463" ht="15.75" customHeight="1">
      <c r="I463" s="63"/>
    </row>
    <row r="464" ht="15.75" customHeight="1">
      <c r="I464" s="63"/>
    </row>
    <row r="465" ht="15.75" customHeight="1">
      <c r="I465" s="63"/>
    </row>
    <row r="466" ht="15.75" customHeight="1">
      <c r="I466" s="63"/>
    </row>
    <row r="467" ht="15.75" customHeight="1">
      <c r="I467" s="63"/>
    </row>
    <row r="468" ht="15.75" customHeight="1">
      <c r="I468" s="63"/>
    </row>
    <row r="469" ht="15.75" customHeight="1">
      <c r="I469" s="63"/>
    </row>
    <row r="470" ht="15.75" customHeight="1">
      <c r="I470" s="63"/>
    </row>
    <row r="471" ht="15.75" customHeight="1">
      <c r="I471" s="63"/>
    </row>
    <row r="472" ht="15.75" customHeight="1">
      <c r="I472" s="63"/>
    </row>
    <row r="473" ht="15.75" customHeight="1">
      <c r="I473" s="63"/>
    </row>
    <row r="474" ht="15.75" customHeight="1">
      <c r="I474" s="63"/>
    </row>
    <row r="475" ht="15.75" customHeight="1">
      <c r="I475" s="63"/>
    </row>
    <row r="476" ht="15.75" customHeight="1">
      <c r="I476" s="63"/>
    </row>
    <row r="477" ht="15.75" customHeight="1">
      <c r="I477" s="63"/>
    </row>
    <row r="478" ht="15.75" customHeight="1">
      <c r="I478" s="63"/>
    </row>
    <row r="479" ht="15.75" customHeight="1">
      <c r="I479" s="63"/>
    </row>
    <row r="480" ht="15.75" customHeight="1">
      <c r="I480" s="63"/>
    </row>
    <row r="481" ht="15.75" customHeight="1">
      <c r="I481" s="63"/>
    </row>
    <row r="482" ht="15.75" customHeight="1">
      <c r="I482" s="63"/>
    </row>
    <row r="483" ht="15.75" customHeight="1">
      <c r="I483" s="63"/>
    </row>
    <row r="484" ht="15.75" customHeight="1">
      <c r="I484" s="63"/>
    </row>
    <row r="485" ht="15.75" customHeight="1">
      <c r="I485" s="63"/>
    </row>
    <row r="486" ht="15.75" customHeight="1">
      <c r="I486" s="63"/>
    </row>
    <row r="487" ht="15.75" customHeight="1">
      <c r="I487" s="63"/>
    </row>
    <row r="488" ht="15.75" customHeight="1">
      <c r="I488" s="63"/>
    </row>
    <row r="489" ht="15.75" customHeight="1">
      <c r="I489" s="63"/>
    </row>
    <row r="490" ht="15.75" customHeight="1">
      <c r="I490" s="63"/>
    </row>
    <row r="491" ht="15.75" customHeight="1">
      <c r="I491" s="63"/>
    </row>
    <row r="492" ht="15.75" customHeight="1">
      <c r="I492" s="63"/>
    </row>
    <row r="493" ht="15.75" customHeight="1">
      <c r="I493" s="63"/>
    </row>
    <row r="494" ht="15.75" customHeight="1">
      <c r="I494" s="63"/>
    </row>
    <row r="495" ht="15.75" customHeight="1">
      <c r="I495" s="63"/>
    </row>
    <row r="496" ht="15.75" customHeight="1">
      <c r="I496" s="63"/>
    </row>
    <row r="497" ht="15.75" customHeight="1">
      <c r="I497" s="63"/>
    </row>
    <row r="498" ht="15.75" customHeight="1">
      <c r="I498" s="63"/>
    </row>
    <row r="499" ht="15.75" customHeight="1">
      <c r="I499" s="63"/>
    </row>
    <row r="500" ht="15.75" customHeight="1">
      <c r="I500" s="63"/>
    </row>
    <row r="501" ht="15.75" customHeight="1">
      <c r="I501" s="63"/>
    </row>
    <row r="502" ht="15.75" customHeight="1">
      <c r="I502" s="63"/>
    </row>
    <row r="503" ht="15.75" customHeight="1">
      <c r="I503" s="63"/>
    </row>
    <row r="504" ht="15.75" customHeight="1">
      <c r="I504" s="63"/>
    </row>
    <row r="505" ht="15.75" customHeight="1">
      <c r="I505" s="63"/>
    </row>
    <row r="506" ht="15.75" customHeight="1">
      <c r="I506" s="63"/>
    </row>
    <row r="507" ht="15.75" customHeight="1">
      <c r="I507" s="63"/>
    </row>
    <row r="508" ht="15.75" customHeight="1">
      <c r="I508" s="63"/>
    </row>
    <row r="509" ht="15.75" customHeight="1">
      <c r="I509" s="63"/>
    </row>
    <row r="510" ht="15.75" customHeight="1">
      <c r="I510" s="63"/>
    </row>
    <row r="511" ht="15.75" customHeight="1">
      <c r="I511" s="63"/>
    </row>
    <row r="512" ht="15.75" customHeight="1">
      <c r="I512" s="63"/>
    </row>
    <row r="513" ht="15.75" customHeight="1">
      <c r="I513" s="63"/>
    </row>
    <row r="514" ht="15.75" customHeight="1">
      <c r="I514" s="63"/>
    </row>
    <row r="515" ht="15.75" customHeight="1">
      <c r="I515" s="63"/>
    </row>
    <row r="516" ht="15.75" customHeight="1">
      <c r="I516" s="63"/>
    </row>
    <row r="517" ht="15.75" customHeight="1">
      <c r="I517" s="63"/>
    </row>
    <row r="518" ht="15.75" customHeight="1">
      <c r="I518" s="63"/>
    </row>
    <row r="519" ht="15.75" customHeight="1">
      <c r="I519" s="63"/>
    </row>
    <row r="520" ht="15.75" customHeight="1">
      <c r="I520" s="63"/>
    </row>
    <row r="521" ht="15.75" customHeight="1">
      <c r="I521" s="63"/>
    </row>
    <row r="522" ht="15.75" customHeight="1">
      <c r="I522" s="63"/>
    </row>
    <row r="523" ht="15.75" customHeight="1">
      <c r="I523" s="63"/>
    </row>
    <row r="524" ht="15.75" customHeight="1">
      <c r="I524" s="63"/>
    </row>
    <row r="525" ht="15.75" customHeight="1">
      <c r="I525" s="63"/>
    </row>
    <row r="526" ht="15.75" customHeight="1">
      <c r="I526" s="63"/>
    </row>
    <row r="527" ht="15.75" customHeight="1">
      <c r="I527" s="63"/>
    </row>
    <row r="528" ht="15.75" customHeight="1">
      <c r="I528" s="63"/>
    </row>
    <row r="529" ht="15.75" customHeight="1">
      <c r="I529" s="63"/>
    </row>
    <row r="530" ht="15.75" customHeight="1">
      <c r="I530" s="63"/>
    </row>
    <row r="531" ht="15.75" customHeight="1">
      <c r="I531" s="63"/>
    </row>
    <row r="532" ht="15.75" customHeight="1">
      <c r="I532" s="63"/>
    </row>
    <row r="533" ht="15.75" customHeight="1">
      <c r="I533" s="63"/>
    </row>
    <row r="534" ht="15.75" customHeight="1">
      <c r="I534" s="63"/>
    </row>
    <row r="535" ht="15.75" customHeight="1">
      <c r="I535" s="63"/>
    </row>
    <row r="536" ht="15.75" customHeight="1">
      <c r="I536" s="63"/>
    </row>
    <row r="537" ht="15.75" customHeight="1">
      <c r="I537" s="63"/>
    </row>
    <row r="538" ht="15.75" customHeight="1">
      <c r="I538" s="63"/>
    </row>
    <row r="539" ht="15.75" customHeight="1">
      <c r="I539" s="63"/>
    </row>
    <row r="540" ht="15.75" customHeight="1">
      <c r="I540" s="63"/>
    </row>
    <row r="541" ht="15.75" customHeight="1">
      <c r="I541" s="63"/>
    </row>
    <row r="542" ht="15.75" customHeight="1">
      <c r="I542" s="63"/>
    </row>
    <row r="543" ht="15.75" customHeight="1">
      <c r="I543" s="63"/>
    </row>
    <row r="544" ht="15.75" customHeight="1">
      <c r="I544" s="63"/>
    </row>
    <row r="545" ht="15.75" customHeight="1">
      <c r="I545" s="63"/>
    </row>
    <row r="546" ht="15.75" customHeight="1">
      <c r="I546" s="63"/>
    </row>
    <row r="547" ht="15.75" customHeight="1">
      <c r="I547" s="63"/>
    </row>
    <row r="548" ht="15.75" customHeight="1">
      <c r="I548" s="63"/>
    </row>
    <row r="549" ht="15.75" customHeight="1">
      <c r="I549" s="63"/>
    </row>
    <row r="550" ht="15.75" customHeight="1">
      <c r="I550" s="63"/>
    </row>
    <row r="551" ht="15.75" customHeight="1">
      <c r="I551" s="63"/>
    </row>
    <row r="552" ht="15.75" customHeight="1">
      <c r="I552" s="63"/>
    </row>
    <row r="553" ht="15.75" customHeight="1">
      <c r="I553" s="63"/>
    </row>
    <row r="554" ht="15.75" customHeight="1">
      <c r="I554" s="63"/>
    </row>
    <row r="555" ht="15.75" customHeight="1">
      <c r="I555" s="63"/>
    </row>
    <row r="556" ht="15.75" customHeight="1">
      <c r="I556" s="63"/>
    </row>
    <row r="557" ht="15.75" customHeight="1">
      <c r="I557" s="63"/>
    </row>
    <row r="558" ht="15.75" customHeight="1">
      <c r="I558" s="63"/>
    </row>
    <row r="559" ht="15.75" customHeight="1">
      <c r="I559" s="63"/>
    </row>
    <row r="560" ht="15.75" customHeight="1">
      <c r="I560" s="63"/>
    </row>
    <row r="561" ht="15.75" customHeight="1">
      <c r="I561" s="63"/>
    </row>
    <row r="562" ht="15.75" customHeight="1">
      <c r="I562" s="63"/>
    </row>
    <row r="563" ht="15.75" customHeight="1">
      <c r="I563" s="63"/>
    </row>
    <row r="564" ht="15.75" customHeight="1">
      <c r="I564" s="63"/>
    </row>
    <row r="565" ht="15.75" customHeight="1">
      <c r="I565" s="63"/>
    </row>
    <row r="566" ht="15.75" customHeight="1">
      <c r="I566" s="63"/>
    </row>
    <row r="567" ht="15.75" customHeight="1">
      <c r="I567" s="63"/>
    </row>
    <row r="568" ht="15.75" customHeight="1">
      <c r="I568" s="63"/>
    </row>
    <row r="569" ht="15.75" customHeight="1">
      <c r="I569" s="63"/>
    </row>
    <row r="570" ht="15.75" customHeight="1">
      <c r="I570" s="63"/>
    </row>
    <row r="571" ht="15.75" customHeight="1">
      <c r="I571" s="63"/>
    </row>
    <row r="572" ht="15.75" customHeight="1">
      <c r="I572" s="63"/>
    </row>
    <row r="573" ht="15.75" customHeight="1">
      <c r="I573" s="63"/>
    </row>
    <row r="574" ht="15.75" customHeight="1">
      <c r="I574" s="63"/>
    </row>
    <row r="575" ht="15.75" customHeight="1">
      <c r="I575" s="63"/>
    </row>
    <row r="576" ht="15.75" customHeight="1">
      <c r="I576" s="63"/>
    </row>
    <row r="577" ht="15.75" customHeight="1">
      <c r="I577" s="63"/>
    </row>
    <row r="578" ht="15.75" customHeight="1">
      <c r="I578" s="63"/>
    </row>
    <row r="579" ht="15.75" customHeight="1">
      <c r="I579" s="63"/>
    </row>
    <row r="580" ht="15.75" customHeight="1">
      <c r="I580" s="63"/>
    </row>
    <row r="581" ht="15.75" customHeight="1">
      <c r="I581" s="63"/>
    </row>
    <row r="582" ht="15.75" customHeight="1">
      <c r="I582" s="63"/>
    </row>
    <row r="583" ht="15.75" customHeight="1">
      <c r="I583" s="63"/>
    </row>
    <row r="584" ht="15.75" customHeight="1">
      <c r="I584" s="63"/>
    </row>
    <row r="585" ht="15.75" customHeight="1">
      <c r="I585" s="63"/>
    </row>
    <row r="586" ht="15.75" customHeight="1">
      <c r="I586" s="63"/>
    </row>
    <row r="587" ht="15.75" customHeight="1">
      <c r="I587" s="63"/>
    </row>
    <row r="588" ht="15.75" customHeight="1">
      <c r="I588" s="63"/>
    </row>
    <row r="589" ht="15.75" customHeight="1">
      <c r="I589" s="63"/>
    </row>
    <row r="590" ht="15.75" customHeight="1">
      <c r="I590" s="63"/>
    </row>
    <row r="591" ht="15.75" customHeight="1">
      <c r="I591" s="63"/>
    </row>
    <row r="592" ht="15.75" customHeight="1">
      <c r="I592" s="63"/>
    </row>
    <row r="593" ht="15.75" customHeight="1">
      <c r="I593" s="63"/>
    </row>
    <row r="594" ht="15.75" customHeight="1">
      <c r="I594" s="63"/>
    </row>
    <row r="595" ht="15.75" customHeight="1">
      <c r="I595" s="63"/>
    </row>
    <row r="596" ht="15.75" customHeight="1">
      <c r="I596" s="63"/>
    </row>
    <row r="597" ht="15.75" customHeight="1">
      <c r="I597" s="63"/>
    </row>
    <row r="598" ht="15.75" customHeight="1">
      <c r="I598" s="63"/>
    </row>
    <row r="599" ht="15.75" customHeight="1">
      <c r="I599" s="63"/>
    </row>
    <row r="600" ht="15.75" customHeight="1">
      <c r="I600" s="63"/>
    </row>
    <row r="601" ht="15.75" customHeight="1">
      <c r="I601" s="63"/>
    </row>
    <row r="602" ht="15.75" customHeight="1">
      <c r="I602" s="63"/>
    </row>
    <row r="603" ht="15.75" customHeight="1">
      <c r="I603" s="63"/>
    </row>
    <row r="604" ht="15.75" customHeight="1">
      <c r="I604" s="63"/>
    </row>
    <row r="605" ht="15.75" customHeight="1">
      <c r="I605" s="63"/>
    </row>
    <row r="606" ht="15.75" customHeight="1">
      <c r="I606" s="63"/>
    </row>
    <row r="607" ht="15.75" customHeight="1">
      <c r="I607" s="63"/>
    </row>
    <row r="608" ht="15.75" customHeight="1">
      <c r="I608" s="63"/>
    </row>
    <row r="609" ht="15.75" customHeight="1">
      <c r="I609" s="63"/>
    </row>
    <row r="610" ht="15.75" customHeight="1">
      <c r="I610" s="63"/>
    </row>
    <row r="611" ht="15.75" customHeight="1">
      <c r="I611" s="63"/>
    </row>
    <row r="612" ht="15.75" customHeight="1">
      <c r="I612" s="63"/>
    </row>
    <row r="613" ht="15.75" customHeight="1">
      <c r="I613" s="63"/>
    </row>
    <row r="614" ht="15.75" customHeight="1">
      <c r="I614" s="63"/>
    </row>
    <row r="615" ht="15.75" customHeight="1">
      <c r="I615" s="63"/>
    </row>
    <row r="616" ht="15.75" customHeight="1">
      <c r="I616" s="63"/>
    </row>
    <row r="617" ht="15.75" customHeight="1">
      <c r="I617" s="63"/>
    </row>
    <row r="618" ht="15.75" customHeight="1">
      <c r="I618" s="63"/>
    </row>
    <row r="619" ht="15.75" customHeight="1">
      <c r="I619" s="63"/>
    </row>
    <row r="620" ht="15.75" customHeight="1">
      <c r="I620" s="63"/>
    </row>
    <row r="621" ht="15.75" customHeight="1">
      <c r="I621" s="63"/>
    </row>
    <row r="622" ht="15.75" customHeight="1">
      <c r="I622" s="63"/>
    </row>
    <row r="623" ht="15.75" customHeight="1">
      <c r="I623" s="63"/>
    </row>
    <row r="624" ht="15.75" customHeight="1">
      <c r="I624" s="63"/>
    </row>
    <row r="625" ht="15.75" customHeight="1">
      <c r="I625" s="63"/>
    </row>
    <row r="626" ht="15.75" customHeight="1">
      <c r="I626" s="63"/>
    </row>
    <row r="627" ht="15.75" customHeight="1">
      <c r="I627" s="63"/>
    </row>
    <row r="628" ht="15.75" customHeight="1">
      <c r="I628" s="63"/>
    </row>
    <row r="629" ht="15.75" customHeight="1">
      <c r="I629" s="63"/>
    </row>
    <row r="630" ht="15.75" customHeight="1">
      <c r="I630" s="63"/>
    </row>
    <row r="631" ht="15.75" customHeight="1">
      <c r="I631" s="63"/>
    </row>
    <row r="632" ht="15.75" customHeight="1">
      <c r="I632" s="63"/>
    </row>
    <row r="633" ht="15.75" customHeight="1">
      <c r="I633" s="63"/>
    </row>
    <row r="634" ht="15.75" customHeight="1">
      <c r="I634" s="63"/>
    </row>
    <row r="635" ht="15.75" customHeight="1">
      <c r="I635" s="63"/>
    </row>
    <row r="636" ht="15.75" customHeight="1">
      <c r="I636" s="63"/>
    </row>
    <row r="637" ht="15.75" customHeight="1">
      <c r="I637" s="63"/>
    </row>
    <row r="638" ht="15.75" customHeight="1">
      <c r="I638" s="63"/>
    </row>
    <row r="639" ht="15.75" customHeight="1">
      <c r="I639" s="63"/>
    </row>
    <row r="640" ht="15.75" customHeight="1">
      <c r="I640" s="63"/>
    </row>
    <row r="641" ht="15.75" customHeight="1">
      <c r="I641" s="63"/>
    </row>
    <row r="642" ht="15.75" customHeight="1">
      <c r="I642" s="63"/>
    </row>
    <row r="643" ht="15.75" customHeight="1">
      <c r="I643" s="63"/>
    </row>
    <row r="644" ht="15.75" customHeight="1">
      <c r="I644" s="63"/>
    </row>
    <row r="645" ht="15.75" customHeight="1">
      <c r="I645" s="63"/>
    </row>
    <row r="646" ht="15.75" customHeight="1">
      <c r="I646" s="63"/>
    </row>
    <row r="647" ht="15.75" customHeight="1">
      <c r="I647" s="63"/>
    </row>
    <row r="648" ht="15.75" customHeight="1">
      <c r="I648" s="63"/>
    </row>
    <row r="649" ht="15.75" customHeight="1">
      <c r="I649" s="63"/>
    </row>
    <row r="650" ht="15.75" customHeight="1">
      <c r="I650" s="63"/>
    </row>
    <row r="651" ht="15.75" customHeight="1">
      <c r="I651" s="63"/>
    </row>
    <row r="652" ht="15.75" customHeight="1">
      <c r="I652" s="63"/>
    </row>
    <row r="653" ht="15.75" customHeight="1">
      <c r="I653" s="63"/>
    </row>
    <row r="654" ht="15.75" customHeight="1">
      <c r="I654" s="63"/>
    </row>
    <row r="655" ht="15.75" customHeight="1">
      <c r="I655" s="63"/>
    </row>
    <row r="656" ht="15.75" customHeight="1">
      <c r="I656" s="63"/>
    </row>
    <row r="657" ht="15.75" customHeight="1">
      <c r="I657" s="63"/>
    </row>
    <row r="658" ht="15.75" customHeight="1">
      <c r="I658" s="63"/>
    </row>
    <row r="659" ht="15.75" customHeight="1">
      <c r="I659" s="63"/>
    </row>
    <row r="660" ht="15.75" customHeight="1">
      <c r="I660" s="63"/>
    </row>
    <row r="661" ht="15.75" customHeight="1">
      <c r="I661" s="63"/>
    </row>
    <row r="662" ht="15.75" customHeight="1">
      <c r="I662" s="63"/>
    </row>
    <row r="663" ht="15.75" customHeight="1">
      <c r="I663" s="63"/>
    </row>
    <row r="664" ht="15.75" customHeight="1">
      <c r="I664" s="63"/>
    </row>
    <row r="665" ht="15.75" customHeight="1">
      <c r="I665" s="63"/>
    </row>
    <row r="666" ht="15.75" customHeight="1">
      <c r="I666" s="63"/>
    </row>
    <row r="667" ht="15.75" customHeight="1">
      <c r="I667" s="63"/>
    </row>
    <row r="668" ht="15.75" customHeight="1">
      <c r="I668" s="63"/>
    </row>
    <row r="669" ht="15.75" customHeight="1">
      <c r="I669" s="63"/>
    </row>
    <row r="670" ht="15.75" customHeight="1">
      <c r="I670" s="63"/>
    </row>
    <row r="671" ht="15.75" customHeight="1">
      <c r="I671" s="63"/>
    </row>
    <row r="672" ht="15.75" customHeight="1">
      <c r="I672" s="63"/>
    </row>
    <row r="673" ht="15.75" customHeight="1">
      <c r="I673" s="63"/>
    </row>
    <row r="674" ht="15.75" customHeight="1">
      <c r="I674" s="63"/>
    </row>
    <row r="675" ht="15.75" customHeight="1">
      <c r="I675" s="63"/>
    </row>
    <row r="676" ht="15.75" customHeight="1">
      <c r="I676" s="63"/>
    </row>
    <row r="677" ht="15.75" customHeight="1">
      <c r="I677" s="63"/>
    </row>
    <row r="678" ht="15.75" customHeight="1">
      <c r="I678" s="63"/>
    </row>
    <row r="679" ht="15.75" customHeight="1">
      <c r="I679" s="63"/>
    </row>
    <row r="680" ht="15.75" customHeight="1">
      <c r="I680" s="63"/>
    </row>
    <row r="681" ht="15.75" customHeight="1">
      <c r="I681" s="63"/>
    </row>
    <row r="682" ht="15.75" customHeight="1">
      <c r="I682" s="63"/>
    </row>
    <row r="683" ht="15.75" customHeight="1">
      <c r="I683" s="63"/>
    </row>
    <row r="684" ht="15.75" customHeight="1">
      <c r="I684" s="63"/>
    </row>
    <row r="685" ht="15.75" customHeight="1">
      <c r="I685" s="63"/>
    </row>
    <row r="686" ht="15.75" customHeight="1">
      <c r="I686" s="63"/>
    </row>
    <row r="687" ht="15.75" customHeight="1">
      <c r="I687" s="63"/>
    </row>
    <row r="688" ht="15.75" customHeight="1">
      <c r="I688" s="63"/>
    </row>
    <row r="689" ht="15.75" customHeight="1">
      <c r="I689" s="63"/>
    </row>
    <row r="690" ht="15.75" customHeight="1">
      <c r="I690" s="63"/>
    </row>
    <row r="691" ht="15.75" customHeight="1">
      <c r="I691" s="63"/>
    </row>
    <row r="692" ht="15.75" customHeight="1">
      <c r="I692" s="63"/>
    </row>
    <row r="693" ht="15.75" customHeight="1">
      <c r="I693" s="63"/>
    </row>
    <row r="694" ht="15.75" customHeight="1">
      <c r="I694" s="63"/>
    </row>
    <row r="695" ht="15.75" customHeight="1">
      <c r="I695" s="63"/>
    </row>
    <row r="696" ht="15.75" customHeight="1">
      <c r="I696" s="63"/>
    </row>
    <row r="697" ht="15.75" customHeight="1">
      <c r="I697" s="63"/>
    </row>
    <row r="698" ht="15.75" customHeight="1">
      <c r="I698" s="63"/>
    </row>
    <row r="699" ht="15.75" customHeight="1">
      <c r="I699" s="63"/>
    </row>
    <row r="700" ht="15.75" customHeight="1">
      <c r="I700" s="63"/>
    </row>
    <row r="701" ht="15.75" customHeight="1">
      <c r="I701" s="63"/>
    </row>
    <row r="702" ht="15.75" customHeight="1">
      <c r="I702" s="63"/>
    </row>
    <row r="703" ht="15.75" customHeight="1">
      <c r="I703" s="63"/>
    </row>
    <row r="704" ht="15.75" customHeight="1">
      <c r="I704" s="63"/>
    </row>
    <row r="705" ht="15.75" customHeight="1">
      <c r="I705" s="63"/>
    </row>
    <row r="706" ht="15.75" customHeight="1">
      <c r="I706" s="63"/>
    </row>
    <row r="707" ht="15.75" customHeight="1">
      <c r="I707" s="63"/>
    </row>
    <row r="708" ht="15.75" customHeight="1">
      <c r="I708" s="63"/>
    </row>
    <row r="709" ht="15.75" customHeight="1">
      <c r="I709" s="63"/>
    </row>
    <row r="710" ht="15.75" customHeight="1">
      <c r="I710" s="63"/>
    </row>
    <row r="711" ht="15.75" customHeight="1">
      <c r="I711" s="63"/>
    </row>
    <row r="712" ht="15.75" customHeight="1">
      <c r="I712" s="63"/>
    </row>
    <row r="713" ht="15.75" customHeight="1">
      <c r="I713" s="63"/>
    </row>
    <row r="714" ht="15.75" customHeight="1">
      <c r="I714" s="63"/>
    </row>
    <row r="715" ht="15.75" customHeight="1">
      <c r="I715" s="63"/>
    </row>
    <row r="716" ht="15.75" customHeight="1">
      <c r="I716" s="63"/>
    </row>
    <row r="717" ht="15.75" customHeight="1">
      <c r="I717" s="63"/>
    </row>
    <row r="718" ht="15.75" customHeight="1">
      <c r="I718" s="63"/>
    </row>
    <row r="719" ht="15.75" customHeight="1">
      <c r="I719" s="63"/>
    </row>
    <row r="720" ht="15.75" customHeight="1">
      <c r="I720" s="63"/>
    </row>
    <row r="721" ht="15.75" customHeight="1">
      <c r="I721" s="63"/>
    </row>
    <row r="722" ht="15.75" customHeight="1">
      <c r="I722" s="63"/>
    </row>
    <row r="723" ht="15.75" customHeight="1">
      <c r="I723" s="63"/>
    </row>
    <row r="724" ht="15.75" customHeight="1">
      <c r="I724" s="63"/>
    </row>
    <row r="725" ht="15.75" customHeight="1">
      <c r="I725" s="63"/>
    </row>
    <row r="726" ht="15.75" customHeight="1">
      <c r="I726" s="63"/>
    </row>
    <row r="727" ht="15.75" customHeight="1">
      <c r="I727" s="63"/>
    </row>
    <row r="728" ht="15.75" customHeight="1">
      <c r="I728" s="63"/>
    </row>
    <row r="729" ht="15.75" customHeight="1">
      <c r="I729" s="63"/>
    </row>
    <row r="730" ht="15.75" customHeight="1">
      <c r="I730" s="63"/>
    </row>
    <row r="731" ht="15.75" customHeight="1">
      <c r="I731" s="63"/>
    </row>
    <row r="732" ht="15.75" customHeight="1">
      <c r="I732" s="63"/>
    </row>
    <row r="733" ht="15.75" customHeight="1">
      <c r="I733" s="63"/>
    </row>
    <row r="734" ht="15.75" customHeight="1">
      <c r="I734" s="63"/>
    </row>
    <row r="735" ht="15.75" customHeight="1">
      <c r="I735" s="63"/>
    </row>
    <row r="736" ht="15.75" customHeight="1">
      <c r="I736" s="63"/>
    </row>
    <row r="737" ht="15.75" customHeight="1">
      <c r="I737" s="63"/>
    </row>
    <row r="738" ht="15.75" customHeight="1">
      <c r="I738" s="63"/>
    </row>
    <row r="739" ht="15.75" customHeight="1">
      <c r="I739" s="63"/>
    </row>
    <row r="740" ht="15.75" customHeight="1">
      <c r="I740" s="63"/>
    </row>
    <row r="741" ht="15.75" customHeight="1">
      <c r="I741" s="63"/>
    </row>
    <row r="742" ht="15.75" customHeight="1">
      <c r="I742" s="63"/>
    </row>
    <row r="743" ht="15.75" customHeight="1">
      <c r="I743" s="63"/>
    </row>
    <row r="744" ht="15.75" customHeight="1">
      <c r="I744" s="63"/>
    </row>
    <row r="745" ht="15.75" customHeight="1">
      <c r="I745" s="63"/>
    </row>
    <row r="746" ht="15.75" customHeight="1">
      <c r="I746" s="63"/>
    </row>
    <row r="747" ht="15.75" customHeight="1">
      <c r="I747" s="63"/>
    </row>
    <row r="748" ht="15.75" customHeight="1">
      <c r="I748" s="63"/>
    </row>
    <row r="749" ht="15.75" customHeight="1">
      <c r="I749" s="63"/>
    </row>
    <row r="750" ht="15.75" customHeight="1">
      <c r="I750" s="63"/>
    </row>
    <row r="751" ht="15.75" customHeight="1">
      <c r="I751" s="63"/>
    </row>
    <row r="752" ht="15.75" customHeight="1">
      <c r="I752" s="63"/>
    </row>
    <row r="753" ht="15.75" customHeight="1">
      <c r="I753" s="63"/>
    </row>
    <row r="754" ht="15.75" customHeight="1">
      <c r="I754" s="63"/>
    </row>
    <row r="755" ht="15.75" customHeight="1">
      <c r="I755" s="63"/>
    </row>
    <row r="756" ht="15.75" customHeight="1">
      <c r="I756" s="63"/>
    </row>
    <row r="757" ht="15.75" customHeight="1">
      <c r="I757" s="63"/>
    </row>
    <row r="758" ht="15.75" customHeight="1">
      <c r="I758" s="63"/>
    </row>
    <row r="759" ht="15.75" customHeight="1">
      <c r="I759" s="63"/>
    </row>
    <row r="760" ht="15.75" customHeight="1">
      <c r="I760" s="63"/>
    </row>
    <row r="761" ht="15.75" customHeight="1">
      <c r="I761" s="63"/>
    </row>
    <row r="762" ht="15.75" customHeight="1">
      <c r="I762" s="63"/>
    </row>
    <row r="763" ht="15.75" customHeight="1">
      <c r="I763" s="63"/>
    </row>
    <row r="764" ht="15.75" customHeight="1">
      <c r="I764" s="63"/>
    </row>
    <row r="765" ht="15.75" customHeight="1">
      <c r="I765" s="63"/>
    </row>
    <row r="766" ht="15.75" customHeight="1">
      <c r="I766" s="63"/>
    </row>
    <row r="767" ht="15.75" customHeight="1">
      <c r="I767" s="63"/>
    </row>
    <row r="768" ht="15.75" customHeight="1">
      <c r="I768" s="63"/>
    </row>
    <row r="769" ht="15.75" customHeight="1">
      <c r="I769" s="63"/>
    </row>
    <row r="770" ht="15.75" customHeight="1">
      <c r="I770" s="63"/>
    </row>
    <row r="771" ht="15.75" customHeight="1">
      <c r="I771" s="63"/>
    </row>
    <row r="772" ht="15.75" customHeight="1">
      <c r="I772" s="63"/>
    </row>
    <row r="773" ht="15.75" customHeight="1">
      <c r="I773" s="63"/>
    </row>
    <row r="774" ht="15.75" customHeight="1">
      <c r="I774" s="63"/>
    </row>
    <row r="775" ht="15.75" customHeight="1">
      <c r="I775" s="63"/>
    </row>
    <row r="776" ht="15.75" customHeight="1">
      <c r="I776" s="63"/>
    </row>
    <row r="777" ht="15.75" customHeight="1">
      <c r="I777" s="63"/>
    </row>
    <row r="778" ht="15.75" customHeight="1">
      <c r="I778" s="63"/>
    </row>
    <row r="779" ht="15.75" customHeight="1">
      <c r="I779" s="63"/>
    </row>
    <row r="780" ht="15.75" customHeight="1">
      <c r="I780" s="63"/>
    </row>
    <row r="781" ht="15.75" customHeight="1">
      <c r="I781" s="63"/>
    </row>
    <row r="782" ht="15.75" customHeight="1">
      <c r="I782" s="63"/>
    </row>
    <row r="783" ht="15.75" customHeight="1">
      <c r="I783" s="63"/>
    </row>
    <row r="784" ht="15.75" customHeight="1">
      <c r="I784" s="63"/>
    </row>
    <row r="785" ht="15.75" customHeight="1">
      <c r="I785" s="63"/>
    </row>
    <row r="786" ht="15.75" customHeight="1">
      <c r="I786" s="63"/>
    </row>
    <row r="787" ht="15.75" customHeight="1">
      <c r="I787" s="63"/>
    </row>
    <row r="788" ht="15.75" customHeight="1">
      <c r="I788" s="63"/>
    </row>
    <row r="789" ht="15.75" customHeight="1">
      <c r="I789" s="63"/>
    </row>
    <row r="790" ht="15.75" customHeight="1">
      <c r="I790" s="63"/>
    </row>
    <row r="791" ht="15.75" customHeight="1">
      <c r="I791" s="63"/>
    </row>
    <row r="792" ht="15.75" customHeight="1">
      <c r="I792" s="63"/>
    </row>
    <row r="793" ht="15.75" customHeight="1">
      <c r="I793" s="63"/>
    </row>
    <row r="794" ht="15.75" customHeight="1">
      <c r="I794" s="63"/>
    </row>
    <row r="795" ht="15.75" customHeight="1">
      <c r="I795" s="63"/>
    </row>
    <row r="796" ht="15.75" customHeight="1">
      <c r="I796" s="63"/>
    </row>
    <row r="797" ht="15.75" customHeight="1">
      <c r="I797" s="63"/>
    </row>
    <row r="798" ht="15.75" customHeight="1">
      <c r="I798" s="63"/>
    </row>
    <row r="799" ht="15.75" customHeight="1">
      <c r="I799" s="63"/>
    </row>
    <row r="800" ht="15.75" customHeight="1">
      <c r="I800" s="63"/>
    </row>
    <row r="801" ht="15.75" customHeight="1">
      <c r="I801" s="63"/>
    </row>
    <row r="802" ht="15.75" customHeight="1">
      <c r="I802" s="63"/>
    </row>
    <row r="803" ht="15.75" customHeight="1">
      <c r="I803" s="63"/>
    </row>
    <row r="804" ht="15.75" customHeight="1">
      <c r="I804" s="63"/>
    </row>
    <row r="805" ht="15.75" customHeight="1">
      <c r="I805" s="63"/>
    </row>
    <row r="806" ht="15.75" customHeight="1">
      <c r="I806" s="63"/>
    </row>
    <row r="807" ht="15.75" customHeight="1">
      <c r="I807" s="63"/>
    </row>
    <row r="808" ht="15.75" customHeight="1">
      <c r="I808" s="63"/>
    </row>
    <row r="809" ht="15.75" customHeight="1">
      <c r="I809" s="63"/>
    </row>
    <row r="810" ht="15.75" customHeight="1">
      <c r="I810" s="63"/>
    </row>
    <row r="811" ht="15.75" customHeight="1">
      <c r="I811" s="63"/>
    </row>
    <row r="812" ht="15.75" customHeight="1">
      <c r="I812" s="63"/>
    </row>
    <row r="813" ht="15.75" customHeight="1">
      <c r="I813" s="63"/>
    </row>
    <row r="814" ht="15.75" customHeight="1">
      <c r="I814" s="63"/>
    </row>
    <row r="815" ht="15.75" customHeight="1">
      <c r="I815" s="63"/>
    </row>
    <row r="816" ht="15.75" customHeight="1">
      <c r="I816" s="63"/>
    </row>
    <row r="817" ht="15.75" customHeight="1">
      <c r="I817" s="63"/>
    </row>
    <row r="818" ht="15.75" customHeight="1">
      <c r="I818" s="63"/>
    </row>
    <row r="819" ht="15.75" customHeight="1">
      <c r="I819" s="63"/>
    </row>
    <row r="820" ht="15.75" customHeight="1">
      <c r="I820" s="63"/>
    </row>
    <row r="821" ht="15.75" customHeight="1">
      <c r="I821" s="63"/>
    </row>
    <row r="822" ht="15.75" customHeight="1">
      <c r="I822" s="63"/>
    </row>
    <row r="823" ht="15.75" customHeight="1">
      <c r="I823" s="63"/>
    </row>
    <row r="824" ht="15.75" customHeight="1">
      <c r="I824" s="63"/>
    </row>
    <row r="825" ht="15.75" customHeight="1">
      <c r="I825" s="63"/>
    </row>
    <row r="826" ht="15.75" customHeight="1">
      <c r="I826" s="63"/>
    </row>
    <row r="827" ht="15.75" customHeight="1">
      <c r="I827" s="63"/>
    </row>
    <row r="828" ht="15.75" customHeight="1">
      <c r="I828" s="63"/>
    </row>
    <row r="829" ht="15.75" customHeight="1">
      <c r="I829" s="63"/>
    </row>
    <row r="830" ht="15.75" customHeight="1">
      <c r="I830" s="63"/>
    </row>
    <row r="831" ht="15.75" customHeight="1">
      <c r="I831" s="63"/>
    </row>
    <row r="832" ht="15.75" customHeight="1">
      <c r="I832" s="63"/>
    </row>
    <row r="833" ht="15.75" customHeight="1">
      <c r="I833" s="63"/>
    </row>
    <row r="834" ht="15.75" customHeight="1">
      <c r="I834" s="63"/>
    </row>
    <row r="835" ht="15.75" customHeight="1">
      <c r="I835" s="63"/>
    </row>
    <row r="836" ht="15.75" customHeight="1">
      <c r="I836" s="63"/>
    </row>
    <row r="837" ht="15.75" customHeight="1">
      <c r="I837" s="63"/>
    </row>
    <row r="838" ht="15.75" customHeight="1">
      <c r="I838" s="63"/>
    </row>
    <row r="839" ht="15.75" customHeight="1">
      <c r="I839" s="63"/>
    </row>
    <row r="840" ht="15.75" customHeight="1">
      <c r="I840" s="63"/>
    </row>
    <row r="841" ht="15.75" customHeight="1">
      <c r="I841" s="63"/>
    </row>
    <row r="842" ht="15.75" customHeight="1">
      <c r="I842" s="63"/>
    </row>
    <row r="843" ht="15.75" customHeight="1">
      <c r="I843" s="63"/>
    </row>
    <row r="844" ht="15.75" customHeight="1">
      <c r="I844" s="63"/>
    </row>
    <row r="845" ht="15.75" customHeight="1">
      <c r="I845" s="63"/>
    </row>
    <row r="846" ht="15.75" customHeight="1">
      <c r="I846" s="63"/>
    </row>
    <row r="847" ht="15.75" customHeight="1">
      <c r="I847" s="63"/>
    </row>
    <row r="848" ht="15.75" customHeight="1">
      <c r="I848" s="63"/>
    </row>
    <row r="849" ht="15.75" customHeight="1">
      <c r="I849" s="63"/>
    </row>
    <row r="850" ht="15.75" customHeight="1">
      <c r="I850" s="63"/>
    </row>
    <row r="851" ht="15.75" customHeight="1">
      <c r="I851" s="63"/>
    </row>
    <row r="852" ht="15.75" customHeight="1">
      <c r="I852" s="63"/>
    </row>
    <row r="853" ht="15.75" customHeight="1">
      <c r="I853" s="63"/>
    </row>
    <row r="854" ht="15.75" customHeight="1">
      <c r="I854" s="63"/>
    </row>
    <row r="855" ht="15.75" customHeight="1">
      <c r="I855" s="63"/>
    </row>
    <row r="856" ht="15.75" customHeight="1">
      <c r="I856" s="63"/>
    </row>
    <row r="857" ht="15.75" customHeight="1">
      <c r="I857" s="63"/>
    </row>
    <row r="858" ht="15.75" customHeight="1">
      <c r="I858" s="63"/>
    </row>
    <row r="859" ht="15.75" customHeight="1">
      <c r="I859" s="63"/>
    </row>
    <row r="860" ht="15.75" customHeight="1">
      <c r="I860" s="63"/>
    </row>
    <row r="861" ht="15.75" customHeight="1">
      <c r="I861" s="63"/>
    </row>
    <row r="862" ht="15.75" customHeight="1">
      <c r="I862" s="63"/>
    </row>
    <row r="863" ht="15.75" customHeight="1">
      <c r="I863" s="63"/>
    </row>
    <row r="864" ht="15.75" customHeight="1">
      <c r="I864" s="63"/>
    </row>
    <row r="865" ht="15.75" customHeight="1">
      <c r="I865" s="63"/>
    </row>
    <row r="866" ht="15.75" customHeight="1">
      <c r="I866" s="63"/>
    </row>
    <row r="867" ht="15.75" customHeight="1">
      <c r="I867" s="63"/>
    </row>
    <row r="868" ht="15.75" customHeight="1">
      <c r="I868" s="63"/>
    </row>
    <row r="869" ht="15.75" customHeight="1">
      <c r="I869" s="63"/>
    </row>
    <row r="870" ht="15.75" customHeight="1">
      <c r="I870" s="63"/>
    </row>
    <row r="871" ht="15.75" customHeight="1">
      <c r="I871" s="63"/>
    </row>
    <row r="872" ht="15.75" customHeight="1">
      <c r="I872" s="63"/>
    </row>
    <row r="873" ht="15.75" customHeight="1">
      <c r="I873" s="63"/>
    </row>
    <row r="874" ht="15.75" customHeight="1">
      <c r="I874" s="63"/>
    </row>
    <row r="875" ht="15.75" customHeight="1">
      <c r="I875" s="63"/>
    </row>
    <row r="876" ht="15.75" customHeight="1">
      <c r="I876" s="63"/>
    </row>
    <row r="877" ht="15.75" customHeight="1">
      <c r="I877" s="63"/>
    </row>
    <row r="878" ht="15.75" customHeight="1">
      <c r="I878" s="63"/>
    </row>
    <row r="879" ht="15.75" customHeight="1">
      <c r="I879" s="63"/>
    </row>
    <row r="880" ht="15.75" customHeight="1">
      <c r="I880" s="63"/>
    </row>
    <row r="881" ht="15.75" customHeight="1">
      <c r="I881" s="63"/>
    </row>
    <row r="882" ht="15.75" customHeight="1">
      <c r="I882" s="63"/>
    </row>
    <row r="883" ht="15.75" customHeight="1">
      <c r="I883" s="63"/>
    </row>
    <row r="884" ht="15.75" customHeight="1">
      <c r="I884" s="63"/>
    </row>
    <row r="885" ht="15.75" customHeight="1">
      <c r="I885" s="63"/>
    </row>
    <row r="886" ht="15.75" customHeight="1">
      <c r="I886" s="63"/>
    </row>
    <row r="887" ht="15.75" customHeight="1">
      <c r="I887" s="63"/>
    </row>
    <row r="888" ht="15.75" customHeight="1">
      <c r="I888" s="63"/>
    </row>
    <row r="889" ht="15.75" customHeight="1">
      <c r="I889" s="63"/>
    </row>
    <row r="890" ht="15.75" customHeight="1">
      <c r="I890" s="63"/>
    </row>
    <row r="891" ht="15.75" customHeight="1">
      <c r="I891" s="63"/>
    </row>
    <row r="892" ht="15.75" customHeight="1">
      <c r="I892" s="63"/>
    </row>
    <row r="893" ht="15.75" customHeight="1">
      <c r="I893" s="63"/>
    </row>
    <row r="894" ht="15.75" customHeight="1">
      <c r="I894" s="63"/>
    </row>
    <row r="895" ht="15.75" customHeight="1">
      <c r="I895" s="63"/>
    </row>
    <row r="896" ht="15.75" customHeight="1">
      <c r="I896" s="63"/>
    </row>
    <row r="897" ht="15.75" customHeight="1">
      <c r="I897" s="63"/>
    </row>
    <row r="898" ht="15.75" customHeight="1">
      <c r="I898" s="63"/>
    </row>
    <row r="899" ht="15.75" customHeight="1">
      <c r="I899" s="63"/>
    </row>
    <row r="900" ht="15.75" customHeight="1">
      <c r="I900" s="63"/>
    </row>
    <row r="901" ht="15.75" customHeight="1">
      <c r="I901" s="63"/>
    </row>
    <row r="902" ht="15.75" customHeight="1">
      <c r="I902" s="63"/>
    </row>
    <row r="903" ht="15.75" customHeight="1">
      <c r="I903" s="63"/>
    </row>
    <row r="904" ht="15.75" customHeight="1">
      <c r="I904" s="63"/>
    </row>
    <row r="905" ht="15.75" customHeight="1">
      <c r="I905" s="63"/>
    </row>
    <row r="906" ht="15.75" customHeight="1">
      <c r="I906" s="63"/>
    </row>
    <row r="907" ht="15.75" customHeight="1">
      <c r="I907" s="63"/>
    </row>
    <row r="908" ht="15.75" customHeight="1">
      <c r="I908" s="63"/>
    </row>
    <row r="909" ht="15.75" customHeight="1">
      <c r="I909" s="63"/>
    </row>
    <row r="910" ht="15.75" customHeight="1">
      <c r="I910" s="63"/>
    </row>
    <row r="911" ht="15.75" customHeight="1">
      <c r="I911" s="63"/>
    </row>
    <row r="912" ht="15.75" customHeight="1">
      <c r="I912" s="63"/>
    </row>
    <row r="913" ht="15.75" customHeight="1">
      <c r="I913" s="63"/>
    </row>
    <row r="914" ht="15.75" customHeight="1">
      <c r="I914" s="63"/>
    </row>
    <row r="915" ht="15.75" customHeight="1">
      <c r="I915" s="63"/>
    </row>
    <row r="916" ht="15.75" customHeight="1">
      <c r="I916" s="63"/>
    </row>
    <row r="917" ht="15.75" customHeight="1">
      <c r="I917" s="63"/>
    </row>
    <row r="918" ht="15.75" customHeight="1">
      <c r="I918" s="63"/>
    </row>
    <row r="919" ht="15.75" customHeight="1">
      <c r="I919" s="63"/>
    </row>
    <row r="920" ht="15.75" customHeight="1">
      <c r="I920" s="63"/>
    </row>
  </sheetData>
  <conditionalFormatting sqref="J1:J920 K1:K71">
    <cfRule type="cellIs" dxfId="6" priority="1" operator="equal">
      <formula>"Blockbuster"</formula>
    </cfRule>
  </conditionalFormatting>
  <conditionalFormatting sqref="J1:J920 K1:K71">
    <cfRule type="cellIs" dxfId="7" priority="2" operator="equal">
      <formula>"Hit"</formula>
    </cfRule>
  </conditionalFormatting>
  <conditionalFormatting sqref="J1:J920 K1:K71">
    <cfRule type="cellIs" dxfId="8" priority="3" operator="equal">
      <formula>"Average"</formula>
    </cfRule>
  </conditionalFormatting>
  <conditionalFormatting sqref="J1:J920 K1:K71">
    <cfRule type="cellIs" dxfId="9" priority="4" operator="equal">
      <formula>"Flop"</formula>
    </cfRule>
  </conditionalFormatting>
  <dataValidations>
    <dataValidation type="custom" allowBlank="1" showDropDown="1" sqref="D2:G71">
      <formula1>AND(ISNUMBER(D2),(NOT(OR(NOT(ISERROR(DATEVALUE(D2))), AND(ISNUMBER(D2), LEFT(CELL("format", D2))="D")))))</formula1>
    </dataValidation>
    <dataValidation allowBlank="1" showDropDown="1" sqref="B2:C71 J2:J71"/>
  </dataValidations>
  <printOptions/>
  <pageMargins bottom="1.0" footer="0.0" header="0.0" left="0.75" right="0.75" top="1.0"/>
  <pageSetup paperSize="9" orientation="portrait"/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5F38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8.0"/>
    <col customWidth="1" min="2" max="2" width="15.86"/>
    <col customWidth="1" min="3" max="3" width="16.14"/>
    <col customWidth="1" min="4" max="4" width="16.57"/>
    <col customWidth="1" min="5" max="5" width="25.57"/>
    <col customWidth="1" min="6" max="6" width="12.86"/>
    <col customWidth="1" min="7" max="7" width="17.14"/>
    <col customWidth="1" min="8" max="8" width="13.0"/>
    <col customWidth="1" min="9" max="9" width="15.86"/>
    <col customWidth="1" min="10" max="10" width="8.71"/>
    <col customWidth="1" min="11" max="11" width="14.86"/>
    <col customWidth="1" min="12" max="12" width="11.14"/>
    <col customWidth="1" min="13" max="13" width="11.29"/>
    <col customWidth="1" min="14" max="14" width="15.57"/>
    <col customWidth="1" min="15" max="15" width="11.57"/>
    <col customWidth="1" min="16" max="24" width="8.71"/>
  </cols>
  <sheetData>
    <row r="1" ht="27.75" customHeight="1">
      <c r="A1" s="1" t="s">
        <v>1</v>
      </c>
      <c r="B1" s="1" t="s">
        <v>2</v>
      </c>
      <c r="C1" s="1" t="s">
        <v>7</v>
      </c>
      <c r="D1" s="1" t="s">
        <v>8</v>
      </c>
      <c r="E1" s="1" t="s">
        <v>11</v>
      </c>
      <c r="F1" s="1" t="s">
        <v>12</v>
      </c>
      <c r="G1" s="1" t="s">
        <v>164</v>
      </c>
      <c r="H1" s="1" t="s">
        <v>165</v>
      </c>
      <c r="I1" s="1" t="s">
        <v>166</v>
      </c>
    </row>
    <row r="2" ht="22.5" customHeight="1">
      <c r="A2" s="18" t="str">
        <f t="array" ref="A2:I71">LET(
  base_data, CHOOSECOLS(Film_Industry_Performance[], 2, 3, 8, 9, 12, 13),
  budget, CHOOSECOLS(base_data, 4),
  revenue, CHOOSECOLS(base_data, 5),
  extra_cols, MAP(budget, revenue, LAMBDA(b, r, LET(
    p, IFERROR(r - b, 0),
    ret, IFERROR(p / b, 0),
    stat, IF(ret &gt; 15%, "Profitable", IF(ret &gt; 0%, "Break Even", "Loss")),
    HSTACK(p, ret, stat)
  ))),
  full_table, HSTACK(base_data, extra_cols), 
  SORT(full_table, 8, FALSE)
)</f>
        <v>Thudarum</v>
      </c>
      <c r="B2" s="49" t="s">
        <v>57</v>
      </c>
      <c r="C2" s="49" t="s">
        <v>152</v>
      </c>
      <c r="D2" s="64">
        <v>15.0</v>
      </c>
      <c r="E2" s="64">
        <v>257.0</v>
      </c>
      <c r="F2" s="65">
        <v>17.133333333333333</v>
      </c>
      <c r="G2" s="64">
        <v>242.0</v>
      </c>
      <c r="H2" s="66">
        <v>16.133333333333333</v>
      </c>
      <c r="I2" s="49" t="s">
        <v>167</v>
      </c>
    </row>
    <row r="3" ht="22.5" customHeight="1">
      <c r="A3" s="18" t="s">
        <v>37</v>
      </c>
      <c r="B3" s="49" t="s">
        <v>38</v>
      </c>
      <c r="C3" s="49" t="s">
        <v>157</v>
      </c>
      <c r="D3" s="64">
        <v>7.0</v>
      </c>
      <c r="E3" s="64">
        <v>108.0</v>
      </c>
      <c r="F3" s="65">
        <v>15.428571428571429</v>
      </c>
      <c r="G3" s="64">
        <v>101.0</v>
      </c>
      <c r="H3" s="66">
        <v>14.428571428571429</v>
      </c>
      <c r="I3" s="49" t="s">
        <v>167</v>
      </c>
    </row>
    <row r="4" ht="22.5" customHeight="1">
      <c r="A4" s="18" t="s">
        <v>26</v>
      </c>
      <c r="B4" s="49" t="s">
        <v>17</v>
      </c>
      <c r="C4" s="49" t="s">
        <v>153</v>
      </c>
      <c r="D4" s="64">
        <v>45.4</v>
      </c>
      <c r="E4" s="64">
        <v>604.8</v>
      </c>
      <c r="F4" s="65">
        <v>13.3215859030837</v>
      </c>
      <c r="G4" s="64">
        <v>559.4</v>
      </c>
      <c r="H4" s="66">
        <v>12.321585903083701</v>
      </c>
      <c r="I4" s="49" t="s">
        <v>167</v>
      </c>
    </row>
    <row r="5" ht="22.5" customHeight="1">
      <c r="A5" s="18" t="s">
        <v>110</v>
      </c>
      <c r="B5" s="49" t="s">
        <v>107</v>
      </c>
      <c r="C5" s="49" t="s">
        <v>153</v>
      </c>
      <c r="D5" s="64">
        <v>12.0</v>
      </c>
      <c r="E5" s="64">
        <v>146.0</v>
      </c>
      <c r="F5" s="65">
        <v>12.166666666666666</v>
      </c>
      <c r="G5" s="64">
        <v>134.0</v>
      </c>
      <c r="H5" s="66">
        <v>11.166666666666666</v>
      </c>
      <c r="I5" s="49" t="s">
        <v>167</v>
      </c>
    </row>
    <row r="6" ht="22.5" customHeight="1">
      <c r="A6" s="18" t="s">
        <v>64</v>
      </c>
      <c r="B6" s="49" t="s">
        <v>57</v>
      </c>
      <c r="C6" s="49" t="s">
        <v>153</v>
      </c>
      <c r="D6" s="64">
        <v>30.0</v>
      </c>
      <c r="E6" s="64">
        <v>359.0</v>
      </c>
      <c r="F6" s="65">
        <v>11.966666666666667</v>
      </c>
      <c r="G6" s="64">
        <v>329.0</v>
      </c>
      <c r="H6" s="66">
        <v>10.966666666666667</v>
      </c>
      <c r="I6" s="49" t="s">
        <v>167</v>
      </c>
    </row>
    <row r="7" ht="22.5" customHeight="1">
      <c r="A7" s="18" t="s">
        <v>63</v>
      </c>
      <c r="B7" s="49" t="s">
        <v>57</v>
      </c>
      <c r="C7" s="49" t="s">
        <v>152</v>
      </c>
      <c r="D7" s="64">
        <v>8.0</v>
      </c>
      <c r="E7" s="64">
        <v>87.0</v>
      </c>
      <c r="F7" s="65">
        <v>10.875</v>
      </c>
      <c r="G7" s="64">
        <v>79.0</v>
      </c>
      <c r="H7" s="66">
        <v>9.875</v>
      </c>
      <c r="I7" s="49" t="s">
        <v>167</v>
      </c>
    </row>
    <row r="8" ht="22.5" customHeight="1">
      <c r="A8" s="18" t="s">
        <v>79</v>
      </c>
      <c r="B8" s="49" t="s">
        <v>72</v>
      </c>
      <c r="C8" s="49" t="s">
        <v>152</v>
      </c>
      <c r="D8" s="64">
        <v>2.5</v>
      </c>
      <c r="E8" s="64">
        <v>25.5</v>
      </c>
      <c r="F8" s="65">
        <v>10.2</v>
      </c>
      <c r="G8" s="64">
        <v>23.0</v>
      </c>
      <c r="H8" s="66">
        <v>9.2</v>
      </c>
      <c r="I8" s="49" t="s">
        <v>167</v>
      </c>
    </row>
    <row r="9" ht="22.5" customHeight="1">
      <c r="A9" s="18" t="s">
        <v>28</v>
      </c>
      <c r="B9" s="49" t="s">
        <v>17</v>
      </c>
      <c r="C9" s="49" t="s">
        <v>153</v>
      </c>
      <c r="D9" s="64">
        <v>40.0</v>
      </c>
      <c r="E9" s="64">
        <v>351.82</v>
      </c>
      <c r="F9" s="65">
        <v>8.7955</v>
      </c>
      <c r="G9" s="64">
        <v>311.82</v>
      </c>
      <c r="H9" s="66">
        <v>7.7955</v>
      </c>
      <c r="I9" s="49" t="s">
        <v>167</v>
      </c>
    </row>
    <row r="10" ht="22.5" customHeight="1">
      <c r="A10" s="18" t="s">
        <v>68</v>
      </c>
      <c r="B10" s="49" t="s">
        <v>57</v>
      </c>
      <c r="C10" s="49" t="s">
        <v>154</v>
      </c>
      <c r="D10" s="64">
        <v>18.0</v>
      </c>
      <c r="E10" s="64">
        <v>140.0</v>
      </c>
      <c r="F10" s="65">
        <v>7.777777777777778</v>
      </c>
      <c r="G10" s="64">
        <v>122.0</v>
      </c>
      <c r="H10" s="66">
        <v>6.777777777777778</v>
      </c>
      <c r="I10" s="49" t="s">
        <v>167</v>
      </c>
    </row>
    <row r="11" ht="22.5" customHeight="1">
      <c r="A11" s="18" t="s">
        <v>113</v>
      </c>
      <c r="B11" s="49" t="s">
        <v>107</v>
      </c>
      <c r="C11" s="49" t="s">
        <v>154</v>
      </c>
      <c r="D11" s="64">
        <v>125.0</v>
      </c>
      <c r="E11" s="64">
        <v>955.0</v>
      </c>
      <c r="F11" s="65">
        <v>7.64</v>
      </c>
      <c r="G11" s="64">
        <v>830.0</v>
      </c>
      <c r="H11" s="66">
        <v>6.64</v>
      </c>
      <c r="I11" s="49" t="s">
        <v>167</v>
      </c>
    </row>
    <row r="12" ht="22.5" customHeight="1">
      <c r="A12" s="18" t="s">
        <v>118</v>
      </c>
      <c r="B12" s="49" t="s">
        <v>119</v>
      </c>
      <c r="C12" s="49" t="s">
        <v>157</v>
      </c>
      <c r="D12" s="64">
        <v>51.2</v>
      </c>
      <c r="E12" s="64">
        <v>360.0</v>
      </c>
      <c r="F12" s="65">
        <v>7.03125</v>
      </c>
      <c r="G12" s="64">
        <v>308.8</v>
      </c>
      <c r="H12" s="66">
        <v>6.03125</v>
      </c>
      <c r="I12" s="49" t="s">
        <v>167</v>
      </c>
    </row>
    <row r="13" ht="22.5" customHeight="1">
      <c r="A13" s="18" t="s">
        <v>20</v>
      </c>
      <c r="B13" s="49" t="s">
        <v>17</v>
      </c>
      <c r="C13" s="49" t="s">
        <v>157</v>
      </c>
      <c r="D13" s="64">
        <v>130.4</v>
      </c>
      <c r="E13" s="64">
        <v>899.0</v>
      </c>
      <c r="F13" s="65">
        <v>6.894171779141104</v>
      </c>
      <c r="G13" s="64">
        <v>768.6</v>
      </c>
      <c r="H13" s="66">
        <v>5.894171779141105</v>
      </c>
      <c r="I13" s="49" t="s">
        <v>167</v>
      </c>
    </row>
    <row r="14" ht="22.5" customHeight="1">
      <c r="A14" s="18" t="s">
        <v>109</v>
      </c>
      <c r="B14" s="49" t="s">
        <v>107</v>
      </c>
      <c r="C14" s="49" t="s">
        <v>152</v>
      </c>
      <c r="D14" s="64">
        <v>10.0</v>
      </c>
      <c r="E14" s="64">
        <v>60.0</v>
      </c>
      <c r="F14" s="65">
        <v>6.0</v>
      </c>
      <c r="G14" s="64">
        <v>50.0</v>
      </c>
      <c r="H14" s="66">
        <v>5.0</v>
      </c>
      <c r="I14" s="49" t="s">
        <v>167</v>
      </c>
    </row>
    <row r="15" ht="22.5" customHeight="1">
      <c r="A15" s="18" t="s">
        <v>56</v>
      </c>
      <c r="B15" s="49" t="s">
        <v>57</v>
      </c>
      <c r="C15" s="49" t="s">
        <v>157</v>
      </c>
      <c r="D15" s="64">
        <v>12.0</v>
      </c>
      <c r="E15" s="64">
        <v>71.0</v>
      </c>
      <c r="F15" s="65">
        <v>5.916666666666667</v>
      </c>
      <c r="G15" s="64">
        <v>59.0</v>
      </c>
      <c r="H15" s="66">
        <v>4.916666666666667</v>
      </c>
      <c r="I15" s="49" t="s">
        <v>167</v>
      </c>
    </row>
    <row r="16" ht="22.5" customHeight="1">
      <c r="A16" s="18" t="s">
        <v>33</v>
      </c>
      <c r="B16" s="49" t="s">
        <v>17</v>
      </c>
      <c r="C16" s="49" t="s">
        <v>154</v>
      </c>
      <c r="D16" s="64">
        <v>250.0</v>
      </c>
      <c r="E16" s="64">
        <v>1437.35</v>
      </c>
      <c r="F16" s="65">
        <v>5.7494</v>
      </c>
      <c r="G16" s="64">
        <v>1187.35</v>
      </c>
      <c r="H16" s="66">
        <v>4.7494</v>
      </c>
      <c r="I16" s="49" t="s">
        <v>167</v>
      </c>
    </row>
    <row r="17" ht="22.5" customHeight="1">
      <c r="A17" s="18" t="s">
        <v>98</v>
      </c>
      <c r="B17" s="49" t="s">
        <v>89</v>
      </c>
      <c r="C17" s="49" t="s">
        <v>152</v>
      </c>
      <c r="D17" s="64">
        <v>15.0</v>
      </c>
      <c r="E17" s="64">
        <v>85.1</v>
      </c>
      <c r="F17" s="65">
        <v>5.673333333333333</v>
      </c>
      <c r="G17" s="64">
        <v>70.1</v>
      </c>
      <c r="H17" s="66">
        <v>4.673333333333333</v>
      </c>
      <c r="I17" s="49" t="s">
        <v>167</v>
      </c>
    </row>
    <row r="18" ht="22.5" customHeight="1">
      <c r="A18" s="18" t="s">
        <v>48</v>
      </c>
      <c r="B18" s="49" t="s">
        <v>38</v>
      </c>
      <c r="C18" s="49" t="s">
        <v>153</v>
      </c>
      <c r="D18" s="64">
        <v>25.0</v>
      </c>
      <c r="E18" s="64">
        <v>130.0</v>
      </c>
      <c r="F18" s="65">
        <v>5.2</v>
      </c>
      <c r="G18" s="64">
        <v>105.0</v>
      </c>
      <c r="H18" s="66">
        <v>4.2</v>
      </c>
      <c r="I18" s="49" t="s">
        <v>167</v>
      </c>
    </row>
    <row r="19" ht="22.5" customHeight="1">
      <c r="A19" s="18" t="s">
        <v>43</v>
      </c>
      <c r="B19" s="49" t="s">
        <v>38</v>
      </c>
      <c r="C19" s="49" t="s">
        <v>157</v>
      </c>
      <c r="D19" s="64">
        <v>37.0</v>
      </c>
      <c r="E19" s="64">
        <v>189.0</v>
      </c>
      <c r="F19" s="65">
        <v>5.108108108108108</v>
      </c>
      <c r="G19" s="64">
        <v>152.0</v>
      </c>
      <c r="H19" s="66">
        <v>4.108108108108108</v>
      </c>
      <c r="I19" s="49" t="s">
        <v>167</v>
      </c>
    </row>
    <row r="20" ht="15.75" customHeight="1">
      <c r="A20" s="18" t="s">
        <v>60</v>
      </c>
      <c r="B20" s="49" t="s">
        <v>57</v>
      </c>
      <c r="C20" s="49" t="s">
        <v>157</v>
      </c>
      <c r="D20" s="64">
        <v>13.0</v>
      </c>
      <c r="E20" s="64">
        <v>65.0</v>
      </c>
      <c r="F20" s="65">
        <v>5.0</v>
      </c>
      <c r="G20" s="64">
        <v>52.0</v>
      </c>
      <c r="H20" s="66">
        <v>4.0</v>
      </c>
      <c r="I20" s="49" t="s">
        <v>167</v>
      </c>
    </row>
    <row r="21" ht="15.75" customHeight="1">
      <c r="A21" s="18" t="s">
        <v>53</v>
      </c>
      <c r="B21" s="49" t="s">
        <v>38</v>
      </c>
      <c r="C21" s="49" t="s">
        <v>154</v>
      </c>
      <c r="D21" s="64">
        <v>30.0</v>
      </c>
      <c r="E21" s="64">
        <v>139.0</v>
      </c>
      <c r="F21" s="65">
        <v>4.633333333333334</v>
      </c>
      <c r="G21" s="64">
        <v>109.0</v>
      </c>
      <c r="H21" s="66">
        <v>3.6333333333333333</v>
      </c>
      <c r="I21" s="49" t="s">
        <v>167</v>
      </c>
    </row>
    <row r="22" ht="15.75" customHeight="1">
      <c r="A22" s="18" t="s">
        <v>67</v>
      </c>
      <c r="B22" s="49" t="s">
        <v>57</v>
      </c>
      <c r="C22" s="49" t="s">
        <v>154</v>
      </c>
      <c r="D22" s="64">
        <v>25.0</v>
      </c>
      <c r="E22" s="64">
        <v>111.0</v>
      </c>
      <c r="F22" s="65">
        <v>4.44</v>
      </c>
      <c r="G22" s="64">
        <v>86.0</v>
      </c>
      <c r="H22" s="66">
        <v>3.44</v>
      </c>
      <c r="I22" s="49" t="s">
        <v>167</v>
      </c>
    </row>
    <row r="23" ht="15.75" customHeight="1">
      <c r="A23" s="18" t="s">
        <v>97</v>
      </c>
      <c r="B23" s="49" t="s">
        <v>89</v>
      </c>
      <c r="C23" s="49" t="s">
        <v>152</v>
      </c>
      <c r="D23" s="64">
        <v>10.0</v>
      </c>
      <c r="E23" s="64">
        <v>39.9</v>
      </c>
      <c r="F23" s="65">
        <v>3.9899999999999998</v>
      </c>
      <c r="G23" s="64">
        <v>29.9</v>
      </c>
      <c r="H23" s="66">
        <v>2.9899999999999998</v>
      </c>
      <c r="I23" s="49" t="s">
        <v>167</v>
      </c>
    </row>
    <row r="24" ht="15.75" customHeight="1">
      <c r="A24" s="18" t="s">
        <v>69</v>
      </c>
      <c r="B24" s="49" t="s">
        <v>57</v>
      </c>
      <c r="C24" s="49" t="s">
        <v>154</v>
      </c>
      <c r="D24" s="64">
        <v>28.0</v>
      </c>
      <c r="E24" s="64">
        <v>105.0</v>
      </c>
      <c r="F24" s="65">
        <v>3.75</v>
      </c>
      <c r="G24" s="64">
        <v>77.0</v>
      </c>
      <c r="H24" s="66">
        <v>2.75</v>
      </c>
      <c r="I24" s="49" t="s">
        <v>167</v>
      </c>
    </row>
    <row r="25" ht="15.75" customHeight="1">
      <c r="A25" s="18" t="s">
        <v>35</v>
      </c>
      <c r="B25" s="49" t="s">
        <v>17</v>
      </c>
      <c r="C25" s="49" t="s">
        <v>154</v>
      </c>
      <c r="D25" s="64">
        <v>100.0</v>
      </c>
      <c r="E25" s="64">
        <v>346.49</v>
      </c>
      <c r="F25" s="65">
        <v>3.4649</v>
      </c>
      <c r="G25" s="64">
        <v>246.49</v>
      </c>
      <c r="H25" s="66">
        <v>2.4649</v>
      </c>
      <c r="I25" s="49" t="s">
        <v>167</v>
      </c>
    </row>
    <row r="26" ht="15.75" customHeight="1">
      <c r="A26" s="18" t="s">
        <v>22</v>
      </c>
      <c r="B26" s="49" t="s">
        <v>17</v>
      </c>
      <c r="C26" s="49" t="s">
        <v>157</v>
      </c>
      <c r="D26" s="64">
        <v>90.0</v>
      </c>
      <c r="E26" s="64">
        <v>308.0</v>
      </c>
      <c r="F26" s="65">
        <v>3.422222222222222</v>
      </c>
      <c r="G26" s="64">
        <v>218.0</v>
      </c>
      <c r="H26" s="66">
        <v>2.422222222222222</v>
      </c>
      <c r="I26" s="49" t="s">
        <v>167</v>
      </c>
    </row>
    <row r="27" ht="15.75" customHeight="1">
      <c r="A27" s="18" t="s">
        <v>105</v>
      </c>
      <c r="B27" s="49" t="s">
        <v>89</v>
      </c>
      <c r="C27" s="49" t="s">
        <v>154</v>
      </c>
      <c r="D27" s="64">
        <v>5.0</v>
      </c>
      <c r="E27" s="64">
        <v>16.3</v>
      </c>
      <c r="F27" s="65">
        <v>3.2600000000000002</v>
      </c>
      <c r="G27" s="64">
        <v>11.3</v>
      </c>
      <c r="H27" s="66">
        <v>2.2600000000000002</v>
      </c>
      <c r="I27" s="49" t="s">
        <v>167</v>
      </c>
    </row>
    <row r="28" ht="15.75" customHeight="1">
      <c r="A28" s="18" t="s">
        <v>55</v>
      </c>
      <c r="B28" s="49" t="s">
        <v>38</v>
      </c>
      <c r="C28" s="49" t="s">
        <v>154</v>
      </c>
      <c r="D28" s="64">
        <v>30.0</v>
      </c>
      <c r="E28" s="64">
        <v>97.0</v>
      </c>
      <c r="F28" s="65">
        <v>3.2333333333333334</v>
      </c>
      <c r="G28" s="64">
        <v>67.0</v>
      </c>
      <c r="H28" s="66">
        <v>2.2333333333333334</v>
      </c>
      <c r="I28" s="49" t="s">
        <v>167</v>
      </c>
    </row>
    <row r="29" ht="15.75" customHeight="1">
      <c r="A29" s="18" t="s">
        <v>66</v>
      </c>
      <c r="B29" s="49" t="s">
        <v>57</v>
      </c>
      <c r="C29" s="49" t="s">
        <v>153</v>
      </c>
      <c r="D29" s="64">
        <v>30.0</v>
      </c>
      <c r="E29" s="64">
        <v>94.0</v>
      </c>
      <c r="F29" s="65">
        <v>3.1333333333333333</v>
      </c>
      <c r="G29" s="64">
        <v>64.0</v>
      </c>
      <c r="H29" s="66">
        <v>2.1333333333333333</v>
      </c>
      <c r="I29" s="49" t="s">
        <v>167</v>
      </c>
    </row>
    <row r="30" ht="15.75" customHeight="1">
      <c r="A30" s="18" t="s">
        <v>132</v>
      </c>
      <c r="B30" s="49" t="s">
        <v>119</v>
      </c>
      <c r="C30" s="49" t="s">
        <v>153</v>
      </c>
      <c r="D30" s="64">
        <v>60.0</v>
      </c>
      <c r="E30" s="64">
        <v>181.0</v>
      </c>
      <c r="F30" s="65">
        <v>3.0166666666666666</v>
      </c>
      <c r="G30" s="64">
        <v>121.0</v>
      </c>
      <c r="H30" s="66">
        <v>2.0166666666666666</v>
      </c>
      <c r="I30" s="49" t="s">
        <v>167</v>
      </c>
    </row>
    <row r="31" ht="15.75" customHeight="1">
      <c r="A31" s="18" t="s">
        <v>83</v>
      </c>
      <c r="B31" s="49" t="s">
        <v>72</v>
      </c>
      <c r="C31" s="49" t="s">
        <v>154</v>
      </c>
      <c r="D31" s="64">
        <v>12.0</v>
      </c>
      <c r="E31" s="64">
        <v>36.0</v>
      </c>
      <c r="F31" s="65">
        <v>3.0</v>
      </c>
      <c r="G31" s="64">
        <v>24.0</v>
      </c>
      <c r="H31" s="66">
        <v>2.0</v>
      </c>
      <c r="I31" s="49" t="s">
        <v>167</v>
      </c>
    </row>
    <row r="32" ht="15.75" customHeight="1">
      <c r="A32" s="18" t="s">
        <v>82</v>
      </c>
      <c r="B32" s="49" t="s">
        <v>72</v>
      </c>
      <c r="C32" s="49" t="s">
        <v>153</v>
      </c>
      <c r="D32" s="64">
        <v>10.0</v>
      </c>
      <c r="E32" s="64">
        <v>28.0</v>
      </c>
      <c r="F32" s="65">
        <v>2.8</v>
      </c>
      <c r="G32" s="64">
        <v>18.0</v>
      </c>
      <c r="H32" s="66">
        <v>1.8</v>
      </c>
      <c r="I32" s="49" t="s">
        <v>167</v>
      </c>
    </row>
    <row r="33" ht="15.75" customHeight="1">
      <c r="A33" s="18" t="s">
        <v>31</v>
      </c>
      <c r="B33" s="49" t="s">
        <v>17</v>
      </c>
      <c r="C33" s="49" t="s">
        <v>153</v>
      </c>
      <c r="D33" s="64">
        <v>305.3</v>
      </c>
      <c r="E33" s="64">
        <v>785.9000000000001</v>
      </c>
      <c r="F33" s="65">
        <v>2.5741893219783822</v>
      </c>
      <c r="G33" s="64">
        <v>480.6000000000001</v>
      </c>
      <c r="H33" s="66">
        <v>1.574189321978382</v>
      </c>
      <c r="I33" s="49" t="s">
        <v>167</v>
      </c>
    </row>
    <row r="34" ht="15.75" customHeight="1">
      <c r="A34" s="18" t="s">
        <v>127</v>
      </c>
      <c r="B34" s="49" t="s">
        <v>119</v>
      </c>
      <c r="C34" s="49" t="s">
        <v>152</v>
      </c>
      <c r="D34" s="64">
        <v>70.0</v>
      </c>
      <c r="E34" s="64">
        <v>174.0</v>
      </c>
      <c r="F34" s="65">
        <v>2.4857142857142858</v>
      </c>
      <c r="G34" s="64">
        <v>104.0</v>
      </c>
      <c r="H34" s="66">
        <v>1.4857142857142858</v>
      </c>
      <c r="I34" s="49" t="s">
        <v>167</v>
      </c>
    </row>
    <row r="35" ht="15.75" customHeight="1">
      <c r="A35" s="18" t="s">
        <v>81</v>
      </c>
      <c r="B35" s="49" t="s">
        <v>72</v>
      </c>
      <c r="C35" s="49" t="s">
        <v>153</v>
      </c>
      <c r="D35" s="64">
        <v>22.0</v>
      </c>
      <c r="E35" s="64">
        <v>50.0</v>
      </c>
      <c r="F35" s="65">
        <v>2.272727272727273</v>
      </c>
      <c r="G35" s="64">
        <v>28.0</v>
      </c>
      <c r="H35" s="66">
        <v>1.2727272727272727</v>
      </c>
      <c r="I35" s="49" t="s">
        <v>167</v>
      </c>
    </row>
    <row r="36" ht="15.75" customHeight="1">
      <c r="A36" s="18" t="s">
        <v>92</v>
      </c>
      <c r="B36" s="49" t="s">
        <v>89</v>
      </c>
      <c r="C36" s="49" t="s">
        <v>157</v>
      </c>
      <c r="D36" s="64">
        <v>4.5</v>
      </c>
      <c r="E36" s="64">
        <v>10.1</v>
      </c>
      <c r="F36" s="65">
        <v>2.2444444444444445</v>
      </c>
      <c r="G36" s="64">
        <v>5.6</v>
      </c>
      <c r="H36" s="66">
        <v>1.2444444444444445</v>
      </c>
      <c r="I36" s="49" t="s">
        <v>167</v>
      </c>
    </row>
    <row r="37" ht="15.75" customHeight="1">
      <c r="A37" s="18" t="s">
        <v>104</v>
      </c>
      <c r="B37" s="49" t="s">
        <v>89</v>
      </c>
      <c r="C37" s="49" t="s">
        <v>154</v>
      </c>
      <c r="D37" s="64">
        <v>18.0</v>
      </c>
      <c r="E37" s="64">
        <v>40.0</v>
      </c>
      <c r="F37" s="65">
        <v>2.2222222222222223</v>
      </c>
      <c r="G37" s="64">
        <v>22.0</v>
      </c>
      <c r="H37" s="66">
        <v>1.2222222222222223</v>
      </c>
      <c r="I37" s="49" t="s">
        <v>167</v>
      </c>
    </row>
    <row r="38" ht="15.75" customHeight="1">
      <c r="A38" s="18" t="s">
        <v>84</v>
      </c>
      <c r="B38" s="49" t="s">
        <v>72</v>
      </c>
      <c r="C38" s="49" t="s">
        <v>154</v>
      </c>
      <c r="D38" s="64">
        <v>25.0</v>
      </c>
      <c r="E38" s="64">
        <v>54.0</v>
      </c>
      <c r="F38" s="65">
        <v>2.16</v>
      </c>
      <c r="G38" s="64">
        <v>29.0</v>
      </c>
      <c r="H38" s="66">
        <v>1.16</v>
      </c>
      <c r="I38" s="49" t="s">
        <v>167</v>
      </c>
    </row>
    <row r="39" ht="15.75" customHeight="1">
      <c r="A39" s="18" t="s">
        <v>86</v>
      </c>
      <c r="B39" s="49" t="s">
        <v>72</v>
      </c>
      <c r="C39" s="49" t="s">
        <v>154</v>
      </c>
      <c r="D39" s="64">
        <v>8.0</v>
      </c>
      <c r="E39" s="64">
        <v>17.0</v>
      </c>
      <c r="F39" s="65">
        <v>2.125</v>
      </c>
      <c r="G39" s="64">
        <v>9.0</v>
      </c>
      <c r="H39" s="66">
        <v>1.125</v>
      </c>
      <c r="I39" s="49" t="s">
        <v>167</v>
      </c>
    </row>
    <row r="40" ht="15.75" customHeight="1">
      <c r="A40" s="18" t="s">
        <v>93</v>
      </c>
      <c r="B40" s="49" t="s">
        <v>89</v>
      </c>
      <c r="C40" s="49" t="s">
        <v>157</v>
      </c>
      <c r="D40" s="64">
        <v>4.0</v>
      </c>
      <c r="E40" s="64">
        <v>8.45</v>
      </c>
      <c r="F40" s="65">
        <v>2.1125</v>
      </c>
      <c r="G40" s="64">
        <v>4.449999999999999</v>
      </c>
      <c r="H40" s="66">
        <v>1.1124999999999998</v>
      </c>
      <c r="I40" s="49" t="s">
        <v>167</v>
      </c>
    </row>
    <row r="41" ht="15.75" customHeight="1">
      <c r="A41" s="18" t="s">
        <v>61</v>
      </c>
      <c r="B41" s="49" t="s">
        <v>57</v>
      </c>
      <c r="C41" s="49" t="s">
        <v>157</v>
      </c>
      <c r="D41" s="64">
        <v>160.0</v>
      </c>
      <c r="E41" s="64">
        <v>333.0</v>
      </c>
      <c r="F41" s="65">
        <v>2.08125</v>
      </c>
      <c r="G41" s="64">
        <v>173.0</v>
      </c>
      <c r="H41" s="66">
        <v>1.08125</v>
      </c>
      <c r="I41" s="49" t="s">
        <v>167</v>
      </c>
    </row>
    <row r="42" ht="15.75" customHeight="1">
      <c r="A42" s="18" t="s">
        <v>88</v>
      </c>
      <c r="B42" s="49" t="s">
        <v>89</v>
      </c>
      <c r="C42" s="49" t="s">
        <v>157</v>
      </c>
      <c r="D42" s="64">
        <v>6.0</v>
      </c>
      <c r="E42" s="64">
        <v>11.0</v>
      </c>
      <c r="F42" s="65">
        <v>1.8333333333333333</v>
      </c>
      <c r="G42" s="64">
        <v>5.0</v>
      </c>
      <c r="H42" s="66">
        <v>0.8333333333333334</v>
      </c>
      <c r="I42" s="49" t="s">
        <v>167</v>
      </c>
    </row>
    <row r="43" ht="15.75" customHeight="1">
      <c r="A43" s="18" t="s">
        <v>78</v>
      </c>
      <c r="B43" s="49" t="s">
        <v>72</v>
      </c>
      <c r="C43" s="49" t="s">
        <v>152</v>
      </c>
      <c r="D43" s="64">
        <v>15.0</v>
      </c>
      <c r="E43" s="64">
        <v>26.0</v>
      </c>
      <c r="F43" s="65">
        <v>1.7333333333333334</v>
      </c>
      <c r="G43" s="64">
        <v>11.0</v>
      </c>
      <c r="H43" s="66">
        <v>0.7333333333333333</v>
      </c>
      <c r="I43" s="49" t="s">
        <v>167</v>
      </c>
    </row>
    <row r="44" ht="15.75" customHeight="1">
      <c r="A44" s="18" t="s">
        <v>49</v>
      </c>
      <c r="B44" s="49" t="s">
        <v>38</v>
      </c>
      <c r="C44" s="49" t="s">
        <v>153</v>
      </c>
      <c r="D44" s="64">
        <v>375.0</v>
      </c>
      <c r="E44" s="64">
        <v>648.0</v>
      </c>
      <c r="F44" s="65">
        <v>1.728</v>
      </c>
      <c r="G44" s="64">
        <v>273.0</v>
      </c>
      <c r="H44" s="66">
        <v>0.728</v>
      </c>
      <c r="I44" s="49" t="s">
        <v>167</v>
      </c>
    </row>
    <row r="45" ht="15.75" customHeight="1">
      <c r="A45" s="18" t="s">
        <v>124</v>
      </c>
      <c r="B45" s="49" t="s">
        <v>119</v>
      </c>
      <c r="C45" s="49" t="s">
        <v>157</v>
      </c>
      <c r="D45" s="64">
        <v>85.0</v>
      </c>
      <c r="E45" s="64">
        <v>145.0</v>
      </c>
      <c r="F45" s="65">
        <v>1.7058823529411764</v>
      </c>
      <c r="G45" s="64">
        <v>60.0</v>
      </c>
      <c r="H45" s="66">
        <v>0.7058823529411765</v>
      </c>
      <c r="I45" s="49" t="s">
        <v>167</v>
      </c>
    </row>
    <row r="46" ht="15.75" customHeight="1">
      <c r="A46" s="18" t="s">
        <v>76</v>
      </c>
      <c r="B46" s="49" t="s">
        <v>72</v>
      </c>
      <c r="C46" s="49" t="s">
        <v>152</v>
      </c>
      <c r="D46" s="64">
        <v>25.0</v>
      </c>
      <c r="E46" s="64">
        <v>42.0</v>
      </c>
      <c r="F46" s="65">
        <v>1.68</v>
      </c>
      <c r="G46" s="64">
        <v>17.0</v>
      </c>
      <c r="H46" s="66">
        <v>0.68</v>
      </c>
      <c r="I46" s="49" t="s">
        <v>167</v>
      </c>
    </row>
    <row r="47" ht="15.75" customHeight="1">
      <c r="A47" s="18" t="s">
        <v>131</v>
      </c>
      <c r="B47" s="49" t="s">
        <v>119</v>
      </c>
      <c r="C47" s="49" t="s">
        <v>153</v>
      </c>
      <c r="D47" s="64">
        <v>250.4</v>
      </c>
      <c r="E47" s="64">
        <v>403.2</v>
      </c>
      <c r="F47" s="65">
        <v>1.6102236421725238</v>
      </c>
      <c r="G47" s="64">
        <v>152.79999999999998</v>
      </c>
      <c r="H47" s="66">
        <v>0.6102236421725239</v>
      </c>
      <c r="I47" s="49" t="s">
        <v>167</v>
      </c>
    </row>
    <row r="48" ht="15.75" customHeight="1">
      <c r="A48" s="18" t="s">
        <v>126</v>
      </c>
      <c r="B48" s="49" t="s">
        <v>119</v>
      </c>
      <c r="C48" s="49" t="s">
        <v>157</v>
      </c>
      <c r="D48" s="64">
        <v>120.0</v>
      </c>
      <c r="E48" s="64">
        <v>184.0</v>
      </c>
      <c r="F48" s="65">
        <v>1.5333333333333334</v>
      </c>
      <c r="G48" s="64">
        <v>64.0</v>
      </c>
      <c r="H48" s="66">
        <v>0.5333333333333333</v>
      </c>
      <c r="I48" s="49" t="s">
        <v>167</v>
      </c>
    </row>
    <row r="49" ht="15.75" customHeight="1">
      <c r="A49" s="18" t="s">
        <v>122</v>
      </c>
      <c r="B49" s="49" t="s">
        <v>119</v>
      </c>
      <c r="C49" s="49" t="s">
        <v>157</v>
      </c>
      <c r="D49" s="64">
        <v>100.0</v>
      </c>
      <c r="E49" s="64">
        <v>152.0</v>
      </c>
      <c r="F49" s="65">
        <v>1.52</v>
      </c>
      <c r="G49" s="64">
        <v>52.0</v>
      </c>
      <c r="H49" s="66">
        <v>0.52</v>
      </c>
      <c r="I49" s="49" t="s">
        <v>167</v>
      </c>
    </row>
    <row r="50" ht="15.75" customHeight="1">
      <c r="A50" s="18" t="s">
        <v>16</v>
      </c>
      <c r="B50" s="49" t="s">
        <v>17</v>
      </c>
      <c r="C50" s="49" t="s">
        <v>157</v>
      </c>
      <c r="D50" s="64">
        <v>160.0</v>
      </c>
      <c r="E50" s="64">
        <v>238.88</v>
      </c>
      <c r="F50" s="65">
        <v>1.4929999999999999</v>
      </c>
      <c r="G50" s="64">
        <v>78.88</v>
      </c>
      <c r="H50" s="66">
        <v>0.493</v>
      </c>
      <c r="I50" s="49" t="s">
        <v>167</v>
      </c>
    </row>
    <row r="51" ht="15.75" customHeight="1">
      <c r="A51" s="18" t="s">
        <v>24</v>
      </c>
      <c r="B51" s="49" t="s">
        <v>17</v>
      </c>
      <c r="C51" s="49" t="s">
        <v>152</v>
      </c>
      <c r="D51" s="64">
        <v>225.0</v>
      </c>
      <c r="E51" s="64">
        <v>332.8</v>
      </c>
      <c r="F51" s="65">
        <v>1.4791111111111113</v>
      </c>
      <c r="G51" s="64">
        <v>107.80000000000001</v>
      </c>
      <c r="H51" s="66">
        <v>0.47911111111111115</v>
      </c>
      <c r="I51" s="49" t="s">
        <v>167</v>
      </c>
    </row>
    <row r="52" ht="15.75" customHeight="1">
      <c r="A52" s="18" t="s">
        <v>102</v>
      </c>
      <c r="B52" s="49" t="s">
        <v>89</v>
      </c>
      <c r="C52" s="49" t="s">
        <v>153</v>
      </c>
      <c r="D52" s="64">
        <v>4.0</v>
      </c>
      <c r="E52" s="64">
        <v>5.6</v>
      </c>
      <c r="F52" s="65">
        <v>1.4</v>
      </c>
      <c r="G52" s="64">
        <v>1.5999999999999996</v>
      </c>
      <c r="H52" s="66">
        <v>0.3999999999999999</v>
      </c>
      <c r="I52" s="49" t="s">
        <v>167</v>
      </c>
    </row>
    <row r="53" ht="15.75" customHeight="1">
      <c r="A53" s="18" t="s">
        <v>115</v>
      </c>
      <c r="B53" s="49" t="s">
        <v>107</v>
      </c>
      <c r="C53" s="49" t="s">
        <v>154</v>
      </c>
      <c r="D53" s="64">
        <v>50.0</v>
      </c>
      <c r="E53" s="64">
        <v>67.0</v>
      </c>
      <c r="F53" s="65">
        <v>1.34</v>
      </c>
      <c r="G53" s="64">
        <v>17.0</v>
      </c>
      <c r="H53" s="66">
        <v>0.34</v>
      </c>
      <c r="I53" s="49" t="s">
        <v>167</v>
      </c>
    </row>
    <row r="54" ht="15.75" customHeight="1">
      <c r="A54" s="18" t="s">
        <v>74</v>
      </c>
      <c r="B54" s="49" t="s">
        <v>72</v>
      </c>
      <c r="C54" s="49" t="s">
        <v>157</v>
      </c>
      <c r="D54" s="64">
        <v>10.0</v>
      </c>
      <c r="E54" s="64">
        <v>13.0</v>
      </c>
      <c r="F54" s="65">
        <v>1.3</v>
      </c>
      <c r="G54" s="64">
        <v>3.0</v>
      </c>
      <c r="H54" s="66">
        <v>0.3</v>
      </c>
      <c r="I54" s="49" t="s">
        <v>167</v>
      </c>
    </row>
    <row r="55" ht="15.75" customHeight="1">
      <c r="A55" s="18" t="s">
        <v>112</v>
      </c>
      <c r="B55" s="49" t="s">
        <v>107</v>
      </c>
      <c r="C55" s="49" t="s">
        <v>153</v>
      </c>
      <c r="D55" s="64">
        <v>10.0</v>
      </c>
      <c r="E55" s="64">
        <v>13.0</v>
      </c>
      <c r="F55" s="65">
        <v>1.3</v>
      </c>
      <c r="G55" s="64">
        <v>3.0</v>
      </c>
      <c r="H55" s="66">
        <v>0.3</v>
      </c>
      <c r="I55" s="49" t="s">
        <v>167</v>
      </c>
    </row>
    <row r="56" ht="15.75" customHeight="1">
      <c r="A56" s="18" t="s">
        <v>45</v>
      </c>
      <c r="B56" s="49" t="s">
        <v>38</v>
      </c>
      <c r="C56" s="49" t="s">
        <v>152</v>
      </c>
      <c r="D56" s="64">
        <v>270.0</v>
      </c>
      <c r="E56" s="64">
        <v>343.0</v>
      </c>
      <c r="F56" s="65">
        <v>1.2703703703703704</v>
      </c>
      <c r="G56" s="64">
        <v>73.0</v>
      </c>
      <c r="H56" s="66">
        <v>0.27037037037037037</v>
      </c>
      <c r="I56" s="49" t="s">
        <v>167</v>
      </c>
    </row>
    <row r="57" ht="15.75" customHeight="1">
      <c r="A57" s="18" t="s">
        <v>111</v>
      </c>
      <c r="B57" s="49" t="s">
        <v>107</v>
      </c>
      <c r="C57" s="49" t="s">
        <v>153</v>
      </c>
      <c r="D57" s="64">
        <v>15.0</v>
      </c>
      <c r="E57" s="64">
        <v>19.0</v>
      </c>
      <c r="F57" s="65">
        <v>1.2666666666666666</v>
      </c>
      <c r="G57" s="64">
        <v>4.0</v>
      </c>
      <c r="H57" s="66">
        <v>0.26666666666666666</v>
      </c>
      <c r="I57" s="49" t="s">
        <v>167</v>
      </c>
    </row>
    <row r="58" ht="15.75" customHeight="1">
      <c r="A58" s="18" t="s">
        <v>116</v>
      </c>
      <c r="B58" s="49" t="s">
        <v>107</v>
      </c>
      <c r="C58" s="49" t="s">
        <v>154</v>
      </c>
      <c r="D58" s="64">
        <v>45.0</v>
      </c>
      <c r="E58" s="64">
        <v>57.0</v>
      </c>
      <c r="F58" s="65">
        <v>1.2666666666666666</v>
      </c>
      <c r="G58" s="64">
        <v>12.0</v>
      </c>
      <c r="H58" s="66">
        <v>0.26666666666666666</v>
      </c>
      <c r="I58" s="49" t="s">
        <v>167</v>
      </c>
    </row>
    <row r="59" ht="15.75" customHeight="1">
      <c r="A59" s="18" t="s">
        <v>30</v>
      </c>
      <c r="B59" s="49" t="s">
        <v>17</v>
      </c>
      <c r="C59" s="49" t="s">
        <v>153</v>
      </c>
      <c r="D59" s="64">
        <v>400.0</v>
      </c>
      <c r="E59" s="64">
        <v>501.0</v>
      </c>
      <c r="F59" s="65">
        <v>1.2525</v>
      </c>
      <c r="G59" s="64">
        <v>101.0</v>
      </c>
      <c r="H59" s="66">
        <v>0.2525</v>
      </c>
      <c r="I59" s="49" t="s">
        <v>167</v>
      </c>
    </row>
    <row r="60" ht="15.75" customHeight="1">
      <c r="A60" s="18" t="s">
        <v>114</v>
      </c>
      <c r="B60" s="49" t="s">
        <v>107</v>
      </c>
      <c r="C60" s="49" t="s">
        <v>154</v>
      </c>
      <c r="D60" s="64">
        <v>8.0</v>
      </c>
      <c r="E60" s="64">
        <v>10.0</v>
      </c>
      <c r="F60" s="65">
        <v>1.25</v>
      </c>
      <c r="G60" s="64">
        <v>2.0</v>
      </c>
      <c r="H60" s="66">
        <v>0.25</v>
      </c>
      <c r="I60" s="49" t="s">
        <v>167</v>
      </c>
    </row>
    <row r="61" ht="15.75" customHeight="1">
      <c r="A61" s="18" t="s">
        <v>95</v>
      </c>
      <c r="B61" s="49" t="s">
        <v>89</v>
      </c>
      <c r="C61" s="49" t="s">
        <v>152</v>
      </c>
      <c r="D61" s="64">
        <v>10.0</v>
      </c>
      <c r="E61" s="64">
        <v>12.2</v>
      </c>
      <c r="F61" s="65">
        <v>1.22</v>
      </c>
      <c r="G61" s="64">
        <v>2.1999999999999993</v>
      </c>
      <c r="H61" s="66">
        <v>0.21999999999999992</v>
      </c>
      <c r="I61" s="49" t="s">
        <v>167</v>
      </c>
    </row>
    <row r="62" ht="15.75" customHeight="1">
      <c r="A62" s="18" t="s">
        <v>41</v>
      </c>
      <c r="B62" s="49" t="s">
        <v>38</v>
      </c>
      <c r="C62" s="49" t="s">
        <v>157</v>
      </c>
      <c r="D62" s="64">
        <v>200.0</v>
      </c>
      <c r="E62" s="64">
        <v>236.0</v>
      </c>
      <c r="F62" s="65">
        <v>1.18</v>
      </c>
      <c r="G62" s="64">
        <v>36.0</v>
      </c>
      <c r="H62" s="66">
        <v>0.18</v>
      </c>
      <c r="I62" s="49" t="s">
        <v>167</v>
      </c>
    </row>
    <row r="63" ht="15.75" customHeight="1">
      <c r="A63" s="18" t="s">
        <v>100</v>
      </c>
      <c r="B63" s="49" t="s">
        <v>89</v>
      </c>
      <c r="C63" s="49" t="s">
        <v>153</v>
      </c>
      <c r="D63" s="64">
        <v>25.0</v>
      </c>
      <c r="E63" s="64">
        <v>29.2</v>
      </c>
      <c r="F63" s="65">
        <v>1.168</v>
      </c>
      <c r="G63" s="64">
        <v>4.199999999999999</v>
      </c>
      <c r="H63" s="66">
        <v>0.16799999999999998</v>
      </c>
      <c r="I63" s="49" t="s">
        <v>167</v>
      </c>
    </row>
    <row r="64" ht="15.75" customHeight="1">
      <c r="A64" s="18" t="s">
        <v>71</v>
      </c>
      <c r="B64" s="49" t="s">
        <v>72</v>
      </c>
      <c r="C64" s="49" t="s">
        <v>157</v>
      </c>
      <c r="D64" s="64">
        <v>18.0</v>
      </c>
      <c r="E64" s="64">
        <v>21.0</v>
      </c>
      <c r="F64" s="65">
        <v>1.1666666666666667</v>
      </c>
      <c r="G64" s="64">
        <v>3.0</v>
      </c>
      <c r="H64" s="66">
        <v>0.16666666666666666</v>
      </c>
      <c r="I64" s="49" t="s">
        <v>167</v>
      </c>
    </row>
    <row r="65" ht="15.75" customHeight="1">
      <c r="A65" s="18" t="s">
        <v>106</v>
      </c>
      <c r="B65" s="49" t="s">
        <v>107</v>
      </c>
      <c r="C65" s="49" t="s">
        <v>152</v>
      </c>
      <c r="D65" s="64">
        <v>12.0</v>
      </c>
      <c r="E65" s="64">
        <v>13.0</v>
      </c>
      <c r="F65" s="65">
        <v>1.0833333333333333</v>
      </c>
      <c r="G65" s="64">
        <v>1.0</v>
      </c>
      <c r="H65" s="66">
        <v>0.08333333333333333</v>
      </c>
      <c r="I65" s="49" t="s">
        <v>169</v>
      </c>
    </row>
    <row r="66" ht="15.75" customHeight="1">
      <c r="A66" s="18" t="s">
        <v>128</v>
      </c>
      <c r="B66" s="49" t="s">
        <v>119</v>
      </c>
      <c r="C66" s="49" t="s">
        <v>153</v>
      </c>
      <c r="D66" s="64">
        <v>130.0</v>
      </c>
      <c r="E66" s="64">
        <v>132.0</v>
      </c>
      <c r="F66" s="65">
        <v>1.0153846153846153</v>
      </c>
      <c r="G66" s="64">
        <v>2.0</v>
      </c>
      <c r="H66" s="66">
        <v>0.015384615384615385</v>
      </c>
      <c r="I66" s="49" t="s">
        <v>169</v>
      </c>
    </row>
    <row r="67" ht="15.75" customHeight="1">
      <c r="A67" s="18" t="s">
        <v>51</v>
      </c>
      <c r="B67" s="49" t="s">
        <v>38</v>
      </c>
      <c r="C67" s="49" t="s">
        <v>153</v>
      </c>
      <c r="D67" s="64">
        <v>180.0</v>
      </c>
      <c r="E67" s="64">
        <v>160.0</v>
      </c>
      <c r="F67" s="65">
        <v>0.8888888888888888</v>
      </c>
      <c r="G67" s="64">
        <v>-20.0</v>
      </c>
      <c r="H67" s="66">
        <v>-0.1111111111111111</v>
      </c>
      <c r="I67" s="49" t="s">
        <v>170</v>
      </c>
    </row>
    <row r="68" ht="15.75" customHeight="1">
      <c r="A68" s="18" t="s">
        <v>47</v>
      </c>
      <c r="B68" s="49" t="s">
        <v>38</v>
      </c>
      <c r="C68" s="49" t="s">
        <v>152</v>
      </c>
      <c r="D68" s="64">
        <v>250.0</v>
      </c>
      <c r="E68" s="64">
        <v>207.0</v>
      </c>
      <c r="F68" s="65">
        <v>0.828</v>
      </c>
      <c r="G68" s="64">
        <v>-43.0</v>
      </c>
      <c r="H68" s="66">
        <v>-0.172</v>
      </c>
      <c r="I68" s="49" t="s">
        <v>170</v>
      </c>
    </row>
    <row r="69" ht="15.75" customHeight="1">
      <c r="A69" s="18">
        <v>45.0</v>
      </c>
      <c r="B69" s="49" t="s">
        <v>107</v>
      </c>
      <c r="C69" s="49" t="s">
        <v>154</v>
      </c>
      <c r="D69" s="64">
        <v>70.0</v>
      </c>
      <c r="E69" s="64">
        <v>56.0</v>
      </c>
      <c r="F69" s="65">
        <v>0.8</v>
      </c>
      <c r="G69" s="64">
        <v>-14.0</v>
      </c>
      <c r="H69" s="66">
        <v>-0.2</v>
      </c>
      <c r="I69" s="49" t="s">
        <v>170</v>
      </c>
    </row>
    <row r="70" ht="15.75" customHeight="1">
      <c r="A70" s="18" t="s">
        <v>121</v>
      </c>
      <c r="B70" s="49" t="s">
        <v>119</v>
      </c>
      <c r="C70" s="49" t="s">
        <v>157</v>
      </c>
      <c r="D70" s="64">
        <v>400.0</v>
      </c>
      <c r="E70" s="64">
        <v>291.0</v>
      </c>
      <c r="F70" s="65">
        <v>0.7275</v>
      </c>
      <c r="G70" s="64">
        <v>-109.0</v>
      </c>
      <c r="H70" s="66">
        <v>-0.2725</v>
      </c>
      <c r="I70" s="49" t="s">
        <v>170</v>
      </c>
    </row>
    <row r="71" ht="15.75" customHeight="1">
      <c r="A71" s="18" t="s">
        <v>130</v>
      </c>
      <c r="B71" s="49" t="s">
        <v>119</v>
      </c>
      <c r="C71" s="49" t="s">
        <v>153</v>
      </c>
      <c r="D71" s="64">
        <v>250.0</v>
      </c>
      <c r="E71" s="64">
        <v>174.0</v>
      </c>
      <c r="F71" s="65">
        <v>0.696</v>
      </c>
      <c r="G71" s="64">
        <v>-76.0</v>
      </c>
      <c r="H71" s="66">
        <v>-0.304</v>
      </c>
      <c r="I71" s="49" t="s">
        <v>170</v>
      </c>
    </row>
    <row r="72" ht="15.75" customHeight="1">
      <c r="A72" s="67"/>
      <c r="B72" s="58"/>
      <c r="C72" s="58"/>
      <c r="D72" s="68"/>
      <c r="E72" s="68"/>
      <c r="F72" s="69"/>
      <c r="G72" s="68"/>
      <c r="H72" s="70"/>
      <c r="I72" s="58"/>
    </row>
    <row r="73" ht="15.75" customHeight="1">
      <c r="A73" s="67"/>
      <c r="B73" s="58"/>
      <c r="C73" s="58"/>
      <c r="D73" s="68"/>
      <c r="E73" s="68"/>
      <c r="F73" s="69"/>
      <c r="G73" s="68"/>
      <c r="H73" s="70"/>
      <c r="I73" s="58"/>
    </row>
    <row r="74" ht="15.75" customHeight="1">
      <c r="A74" s="67"/>
      <c r="B74" s="58"/>
      <c r="C74" s="58"/>
      <c r="D74" s="68"/>
      <c r="E74" s="68"/>
      <c r="F74" s="69"/>
      <c r="G74" s="68"/>
      <c r="H74" s="70"/>
      <c r="I74" s="58"/>
    </row>
    <row r="75" ht="15.75" customHeight="1">
      <c r="A75" s="67"/>
      <c r="B75" s="58"/>
      <c r="C75" s="58"/>
      <c r="D75" s="68"/>
      <c r="E75" s="68"/>
      <c r="F75" s="69"/>
      <c r="G75" s="68"/>
      <c r="H75" s="70"/>
      <c r="I75" s="58"/>
    </row>
    <row r="76" ht="15.75" customHeight="1">
      <c r="A76" s="67"/>
      <c r="B76" s="58"/>
      <c r="C76" s="58"/>
      <c r="D76" s="68"/>
      <c r="E76" s="68"/>
      <c r="F76" s="69"/>
      <c r="G76" s="68"/>
      <c r="H76" s="70"/>
      <c r="I76" s="58"/>
    </row>
    <row r="77" ht="15.75" customHeight="1">
      <c r="A77" s="67"/>
      <c r="B77" s="58"/>
      <c r="C77" s="58"/>
      <c r="D77" s="68"/>
      <c r="E77" s="68"/>
      <c r="F77" s="69"/>
      <c r="G77" s="68"/>
      <c r="H77" s="70"/>
      <c r="I77" s="58"/>
    </row>
    <row r="78" ht="15.75" customHeight="1">
      <c r="A78" s="67"/>
      <c r="B78" s="58"/>
      <c r="C78" s="58"/>
      <c r="D78" s="68"/>
      <c r="E78" s="68"/>
      <c r="F78" s="69"/>
      <c r="G78" s="68"/>
      <c r="H78" s="70"/>
      <c r="I78" s="58"/>
    </row>
    <row r="79" ht="15.75" customHeight="1">
      <c r="A79" s="67"/>
      <c r="B79" s="58"/>
      <c r="C79" s="58"/>
      <c r="D79" s="68"/>
      <c r="E79" s="68"/>
      <c r="F79" s="69"/>
      <c r="G79" s="68"/>
      <c r="H79" s="70"/>
      <c r="I79" s="58"/>
    </row>
    <row r="80" ht="15.75" customHeight="1">
      <c r="A80" s="67"/>
      <c r="B80" s="58"/>
      <c r="C80" s="58"/>
      <c r="D80" s="68"/>
      <c r="E80" s="68"/>
      <c r="F80" s="69"/>
      <c r="G80" s="68"/>
      <c r="H80" s="70"/>
      <c r="I80" s="58"/>
    </row>
    <row r="81" ht="15.75" customHeight="1">
      <c r="A81" s="67"/>
      <c r="B81" s="58"/>
      <c r="C81" s="58"/>
      <c r="D81" s="68"/>
      <c r="E81" s="68"/>
      <c r="F81" s="69"/>
      <c r="G81" s="68"/>
      <c r="H81" s="70"/>
      <c r="I81" s="58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I1:I999">
    <cfRule type="cellIs" dxfId="7" priority="1" operator="equal">
      <formula>"Profitable"</formula>
    </cfRule>
  </conditionalFormatting>
  <conditionalFormatting sqref="I1:I999">
    <cfRule type="cellIs" dxfId="8" priority="2" operator="equal">
      <formula>"Break Even"</formula>
    </cfRule>
  </conditionalFormatting>
  <conditionalFormatting sqref="I1:I999">
    <cfRule type="cellIs" dxfId="9" priority="3" operator="equal">
      <formula>"Loss"</formula>
    </cfRule>
  </conditionalFormatting>
  <dataValidations>
    <dataValidation type="custom" allowBlank="1" showDropDown="1" sqref="D2:H71">
      <formula1>AND(ISNUMBER(D2),(NOT(OR(NOT(ISERROR(DATEVALUE(D2))), AND(ISNUMBER(D2), LEFT(CELL("format", D2))="D")))))</formula1>
    </dataValidation>
    <dataValidation allowBlank="1" showDropDown="1" sqref="B2:C71 I2:I71"/>
  </dataValidations>
  <printOptions/>
  <pageMargins bottom="1.0" footer="0.0" header="0.0" left="0.75" right="0.75" top="1.0"/>
  <pageSetup paperSize="9" orientation="portrait"/>
  <drawing r:id="rId2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451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6.0"/>
    <col customWidth="1" min="6" max="6" width="16.43"/>
    <col customWidth="1" min="7" max="26" width="8.71"/>
  </cols>
  <sheetData>
    <row r="1" ht="27.75" customHeight="1">
      <c r="A1" s="1" t="s">
        <v>171</v>
      </c>
      <c r="B1" s="1" t="s">
        <v>157</v>
      </c>
      <c r="C1" s="1" t="s">
        <v>152</v>
      </c>
      <c r="D1" s="1" t="s">
        <v>153</v>
      </c>
      <c r="E1" s="1" t="s">
        <v>154</v>
      </c>
      <c r="F1" s="1" t="s">
        <v>172</v>
      </c>
    </row>
    <row r="2" ht="22.5" customHeight="1">
      <c r="A2" s="18" t="str">
        <f t="array" ref="A2:A8">UNIQUE(Film_Industry_Performance[House])</f>
        <v>Bollywood</v>
      </c>
      <c r="B2" s="64">
        <f>SUMIFS(Film_Industry_Performance[Total Revenue (₹ Cr)], Film_Industry_Performance[House], A2, Film_Industry_Performance[Quarter], "Q1")</f>
        <v>1445.88</v>
      </c>
      <c r="C2" s="64">
        <f>SUMIFS(Film_Industry_Performance[Total Revenue (₹ Cr)], Film_Industry_Performance[House], A2, Film_Industry_Performance[Quarter], "Q2")</f>
        <v>332.8</v>
      </c>
      <c r="D2" s="64">
        <f>SUMIFS(Film_Industry_Performance[Total Revenue (₹ Cr)], Film_Industry_Performance[House], A2, Film_Industry_Performance[Quarter], "Q3")</f>
        <v>2243.52</v>
      </c>
      <c r="E2" s="64">
        <f>SUMIFS(Film_Industry_Performance[Total Revenue (₹ Cr)], Film_Industry_Performance[House], A2, Film_Industry_Performance[Quarter], "Q4")</f>
        <v>1783.84</v>
      </c>
      <c r="F2" s="64">
        <f t="shared" ref="F2:F8" si="1">SUM(B2:E2)</f>
        <v>5806.04</v>
      </c>
    </row>
    <row r="3" ht="22.5" customHeight="1">
      <c r="A3" s="18" t="s">
        <v>38</v>
      </c>
      <c r="B3" s="64">
        <f>SUMIFS(Film_Industry_Performance[Total Revenue (₹ Cr)], Film_Industry_Performance[House], A3, Film_Industry_Performance[Quarter], "Q1")</f>
        <v>533</v>
      </c>
      <c r="C3" s="64">
        <f>SUMIFS(Film_Industry_Performance[Total Revenue (₹ Cr)], Film_Industry_Performance[House], A3, Film_Industry_Performance[Quarter], "Q2")</f>
        <v>550</v>
      </c>
      <c r="D3" s="64">
        <f>SUMIFS(Film_Industry_Performance[Total Revenue (₹ Cr)], Film_Industry_Performance[House], A3, Film_Industry_Performance[Quarter], "Q3")</f>
        <v>938</v>
      </c>
      <c r="E3" s="64">
        <f>SUMIFS(Film_Industry_Performance[Total Revenue (₹ Cr)], Film_Industry_Performance[House], A3, Film_Industry_Performance[Quarter], "Q4")</f>
        <v>236</v>
      </c>
      <c r="F3" s="64">
        <f t="shared" si="1"/>
        <v>2257</v>
      </c>
    </row>
    <row r="4" ht="22.5" customHeight="1">
      <c r="A4" s="18" t="s">
        <v>57</v>
      </c>
      <c r="B4" s="64">
        <f>SUMIFS(Film_Industry_Performance[Total Revenue (₹ Cr)], Film_Industry_Performance[House], A4, Film_Industry_Performance[Quarter], "Q1")</f>
        <v>469</v>
      </c>
      <c r="C4" s="64">
        <f>SUMIFS(Film_Industry_Performance[Total Revenue (₹ Cr)], Film_Industry_Performance[House], A4, Film_Industry_Performance[Quarter], "Q2")</f>
        <v>344</v>
      </c>
      <c r="D4" s="64">
        <f>SUMIFS(Film_Industry_Performance[Total Revenue (₹ Cr)], Film_Industry_Performance[House], A4, Film_Industry_Performance[Quarter], "Q3")</f>
        <v>453</v>
      </c>
      <c r="E4" s="64">
        <f>SUMIFS(Film_Industry_Performance[Total Revenue (₹ Cr)], Film_Industry_Performance[House], A4, Film_Industry_Performance[Quarter], "Q4")</f>
        <v>356</v>
      </c>
      <c r="F4" s="64">
        <f t="shared" si="1"/>
        <v>1622</v>
      </c>
    </row>
    <row r="5" ht="22.5" customHeight="1">
      <c r="A5" s="18" t="s">
        <v>72</v>
      </c>
      <c r="B5" s="64">
        <f>SUMIFS(Film_Industry_Performance[Total Revenue (₹ Cr)], Film_Industry_Performance[House], A5, Film_Industry_Performance[Quarter], "Q1")</f>
        <v>34</v>
      </c>
      <c r="C5" s="64">
        <f>SUMIFS(Film_Industry_Performance[Total Revenue (₹ Cr)], Film_Industry_Performance[House], A5, Film_Industry_Performance[Quarter], "Q2")</f>
        <v>93.5</v>
      </c>
      <c r="D5" s="64">
        <f>SUMIFS(Film_Industry_Performance[Total Revenue (₹ Cr)], Film_Industry_Performance[House], A5, Film_Industry_Performance[Quarter], "Q3")</f>
        <v>78</v>
      </c>
      <c r="E5" s="64">
        <f>SUMIFS(Film_Industry_Performance[Total Revenue (₹ Cr)], Film_Industry_Performance[House], A5, Film_Industry_Performance[Quarter], "Q4")</f>
        <v>107</v>
      </c>
      <c r="F5" s="64">
        <f t="shared" si="1"/>
        <v>312.5</v>
      </c>
    </row>
    <row r="6" ht="22.5" customHeight="1">
      <c r="A6" s="18" t="s">
        <v>89</v>
      </c>
      <c r="B6" s="64">
        <f>SUMIFS(Film_Industry_Performance[Total Revenue (₹ Cr)], Film_Industry_Performance[House], A6, Film_Industry_Performance[Quarter], "Q1")</f>
        <v>29.55</v>
      </c>
      <c r="C6" s="64">
        <f>SUMIFS(Film_Industry_Performance[Total Revenue (₹ Cr)], Film_Industry_Performance[House], A6, Film_Industry_Performance[Quarter], "Q2")</f>
        <v>137.2</v>
      </c>
      <c r="D6" s="64">
        <f>SUMIFS(Film_Industry_Performance[Total Revenue (₹ Cr)], Film_Industry_Performance[House], A6, Film_Industry_Performance[Quarter], "Q3")</f>
        <v>34.8</v>
      </c>
      <c r="E6" s="64">
        <f>SUMIFS(Film_Industry_Performance[Total Revenue (₹ Cr)], Film_Industry_Performance[House], A6, Film_Industry_Performance[Quarter], "Q4")</f>
        <v>56.3</v>
      </c>
      <c r="F6" s="64">
        <f t="shared" si="1"/>
        <v>257.85</v>
      </c>
    </row>
    <row r="7" ht="22.5" customHeight="1">
      <c r="A7" s="18" t="s">
        <v>107</v>
      </c>
      <c r="B7" s="64">
        <f>SUMIFS(Film_Industry_Performance[Total Revenue (₹ Cr)], Film_Industry_Performance[House], A7, Film_Industry_Performance[Quarter], "Q1")</f>
        <v>0</v>
      </c>
      <c r="C7" s="64">
        <f>SUMIFS(Film_Industry_Performance[Total Revenue (₹ Cr)], Film_Industry_Performance[House], A7, Film_Industry_Performance[Quarter], "Q2")</f>
        <v>73</v>
      </c>
      <c r="D7" s="64">
        <f>SUMIFS(Film_Industry_Performance[Total Revenue (₹ Cr)], Film_Industry_Performance[House], A7, Film_Industry_Performance[Quarter], "Q3")</f>
        <v>178</v>
      </c>
      <c r="E7" s="64">
        <f>SUMIFS(Film_Industry_Performance[Total Revenue (₹ Cr)], Film_Industry_Performance[House], A7, Film_Industry_Performance[Quarter], "Q4")</f>
        <v>1145</v>
      </c>
      <c r="F7" s="64">
        <f t="shared" si="1"/>
        <v>1396</v>
      </c>
    </row>
    <row r="8" ht="22.5" customHeight="1">
      <c r="A8" s="18" t="s">
        <v>119</v>
      </c>
      <c r="B8" s="64">
        <f>SUMIFS(Film_Industry_Performance[Total Revenue (₹ Cr)], Film_Industry_Performance[House], A8, Film_Industry_Performance[Quarter], "Q1")</f>
        <v>1132</v>
      </c>
      <c r="C8" s="64">
        <f>SUMIFS(Film_Industry_Performance[Total Revenue (₹ Cr)], Film_Industry_Performance[House], A8, Film_Industry_Performance[Quarter], "Q2")</f>
        <v>174</v>
      </c>
      <c r="D8" s="64">
        <f>SUMIFS(Film_Industry_Performance[Total Revenue (₹ Cr)], Film_Industry_Performance[House], A8, Film_Industry_Performance[Quarter], "Q3")</f>
        <v>890.2</v>
      </c>
      <c r="E8" s="64">
        <f>SUMIFS(Film_Industry_Performance[Total Revenue (₹ Cr)], Film_Industry_Performance[House], A8, Film_Industry_Performance[Quarter], "Q4")</f>
        <v>0</v>
      </c>
      <c r="F8" s="64">
        <f t="shared" si="1"/>
        <v>2196.2</v>
      </c>
    </row>
    <row r="9" ht="22.5" customHeight="1">
      <c r="A9" s="71" t="s">
        <v>173</v>
      </c>
      <c r="B9" s="72">
        <f t="shared" ref="B9:F9" si="2">SUM(B2:B8)</f>
        <v>3643.43</v>
      </c>
      <c r="C9" s="72">
        <f t="shared" si="2"/>
        <v>1704.5</v>
      </c>
      <c r="D9" s="72">
        <f t="shared" si="2"/>
        <v>4815.52</v>
      </c>
      <c r="E9" s="72">
        <f t="shared" si="2"/>
        <v>3684.14</v>
      </c>
      <c r="F9" s="72">
        <f t="shared" si="2"/>
        <v>13847.59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custom" allowBlank="1" showDropDown="1" sqref="B2:F9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860B"/>
    <pageSetUpPr/>
  </sheetPr>
  <sheetViews>
    <sheetView workbookViewId="0"/>
  </sheetViews>
  <sheetFormatPr customHeight="1" defaultColWidth="14.43" defaultRowHeight="15.0"/>
  <cols>
    <col customWidth="1" min="1" max="4" width="18.0"/>
    <col customWidth="1" min="5" max="5" width="32.43"/>
    <col customWidth="1" min="6" max="6" width="18.0"/>
    <col customWidth="1" min="7" max="7" width="20.14"/>
    <col customWidth="1" min="8" max="8" width="18.0"/>
    <col customWidth="1" min="9" max="26" width="8.71"/>
  </cols>
  <sheetData>
    <row r="1" ht="22.5" customHeight="1">
      <c r="A1" s="73" t="s">
        <v>174</v>
      </c>
      <c r="B1" s="74"/>
      <c r="C1" s="75"/>
      <c r="D1" s="76"/>
      <c r="E1" s="76"/>
      <c r="F1" s="76"/>
      <c r="G1" s="76"/>
      <c r="H1" s="76"/>
    </row>
    <row r="2" ht="22.5" customHeight="1">
      <c r="A2" s="77">
        <f>ROWS(Film_Industry_Performance[Title])</f>
        <v>70</v>
      </c>
      <c r="B2" s="78"/>
      <c r="C2" s="79"/>
      <c r="D2" s="76"/>
      <c r="E2" s="80"/>
      <c r="F2" s="80"/>
      <c r="G2" s="80"/>
      <c r="H2" s="80"/>
    </row>
    <row r="3" ht="22.5" customHeight="1">
      <c r="A3" s="81"/>
      <c r="B3" s="82"/>
      <c r="C3" s="83"/>
      <c r="D3" s="76"/>
      <c r="E3" s="84" t="s">
        <v>1</v>
      </c>
      <c r="F3" s="84" t="s">
        <v>2</v>
      </c>
      <c r="G3" s="84" t="s">
        <v>175</v>
      </c>
      <c r="H3" s="84" t="s">
        <v>176</v>
      </c>
    </row>
    <row r="4" ht="22.5" customHeight="1">
      <c r="A4" s="73" t="s">
        <v>177</v>
      </c>
      <c r="B4" s="74"/>
      <c r="C4" s="75"/>
      <c r="D4" s="76"/>
      <c r="E4" s="85" t="str">
        <f t="array" ref="E4:H8">SORT(CHOOSECOLS(Film_Industry_Performance[], 2, 3, 12, 14), 3, FALSE)</f>
        <v>Dhurandhar</v>
      </c>
      <c r="F4" s="86" t="s">
        <v>17</v>
      </c>
      <c r="G4" s="87">
        <v>1437.35</v>
      </c>
      <c r="H4" s="88">
        <v>8.2</v>
      </c>
    </row>
    <row r="5" ht="22.5" customHeight="1">
      <c r="A5" s="77">
        <f t="array" ref="A5">ROWS(UNIQUE(Film_Industry_Performance[House]))</f>
        <v>7</v>
      </c>
      <c r="B5" s="78"/>
      <c r="C5" s="79"/>
      <c r="D5" s="76"/>
      <c r="E5" s="85" t="s">
        <v>113</v>
      </c>
      <c r="F5" s="85" t="s">
        <v>107</v>
      </c>
      <c r="G5" s="87">
        <v>955.0</v>
      </c>
      <c r="H5" s="88">
        <v>9.2</v>
      </c>
    </row>
    <row r="6" ht="22.5" customHeight="1">
      <c r="A6" s="81"/>
      <c r="B6" s="82"/>
      <c r="C6" s="83"/>
      <c r="D6" s="76"/>
      <c r="E6" s="85" t="s">
        <v>20</v>
      </c>
      <c r="F6" s="85" t="s">
        <v>17</v>
      </c>
      <c r="G6" s="87">
        <v>899.0</v>
      </c>
      <c r="H6" s="88">
        <v>7.8</v>
      </c>
    </row>
    <row r="7" ht="22.5" customHeight="1">
      <c r="A7" s="73" t="s">
        <v>135</v>
      </c>
      <c r="B7" s="74"/>
      <c r="C7" s="75"/>
      <c r="D7" s="76"/>
      <c r="E7" s="85" t="s">
        <v>31</v>
      </c>
      <c r="F7" s="85" t="s">
        <v>17</v>
      </c>
      <c r="G7" s="87">
        <v>785.9000000000001</v>
      </c>
      <c r="H7" s="88">
        <v>8.5</v>
      </c>
    </row>
    <row r="8" ht="22.5" customHeight="1">
      <c r="A8" s="77" t="str">
        <f>"₹ " &amp; SUM(Film_Industry_Performance[Budget (₹ Cr)])</f>
        <v>₹ 5611.7</v>
      </c>
      <c r="B8" s="78"/>
      <c r="C8" s="79"/>
      <c r="D8" s="76"/>
      <c r="E8" s="89" t="s">
        <v>49</v>
      </c>
      <c r="F8" s="89" t="s">
        <v>38</v>
      </c>
      <c r="G8" s="90">
        <v>648.0</v>
      </c>
      <c r="H8" s="91">
        <v>7.0</v>
      </c>
    </row>
    <row r="9" ht="22.5" customHeight="1">
      <c r="A9" s="81"/>
      <c r="B9" s="82"/>
      <c r="C9" s="83"/>
      <c r="D9" s="76"/>
      <c r="E9" s="76"/>
      <c r="F9" s="76"/>
      <c r="G9" s="76"/>
      <c r="H9" s="76"/>
    </row>
    <row r="10" ht="22.5" customHeight="1">
      <c r="A10" s="73" t="s">
        <v>136</v>
      </c>
      <c r="B10" s="74"/>
      <c r="C10" s="75"/>
      <c r="D10" s="76"/>
      <c r="E10" s="80"/>
      <c r="F10" s="80"/>
      <c r="G10" s="80"/>
      <c r="H10" s="80"/>
    </row>
    <row r="11" ht="22.5" customHeight="1">
      <c r="A11" s="77" t="str">
        <f>"₹ " &amp; SUM(Film_Industry_Performance[Box Office (₹ Cr)])</f>
        <v>₹ 11167.89</v>
      </c>
      <c r="B11" s="78"/>
      <c r="C11" s="79"/>
      <c r="D11" s="76"/>
      <c r="E11" s="84" t="s">
        <v>1</v>
      </c>
      <c r="F11" s="84" t="s">
        <v>2</v>
      </c>
      <c r="G11" s="84" t="s">
        <v>175</v>
      </c>
      <c r="H11" s="84" t="s">
        <v>176</v>
      </c>
    </row>
    <row r="12" ht="22.5" customHeight="1">
      <c r="A12" s="81"/>
      <c r="B12" s="82"/>
      <c r="C12" s="83"/>
      <c r="D12" s="76"/>
      <c r="E12" s="92" t="str">
        <f t="array" ref="E12:H16">SORT(CHOOSECOLS(Film_Industry_Performance[], 2, 3, 12, 14), 4, FALSE)</f>
        <v>Kantara: Chapter 1</v>
      </c>
      <c r="F12" s="92" t="s">
        <v>107</v>
      </c>
      <c r="G12" s="93">
        <v>955.0</v>
      </c>
      <c r="H12" s="94">
        <v>9.2</v>
      </c>
    </row>
    <row r="13" ht="22.5" customHeight="1">
      <c r="A13" s="73" t="s">
        <v>178</v>
      </c>
      <c r="B13" s="74"/>
      <c r="C13" s="75"/>
      <c r="D13" s="76"/>
      <c r="E13" s="92" t="s">
        <v>35</v>
      </c>
      <c r="F13" s="92" t="s">
        <v>17</v>
      </c>
      <c r="G13" s="93">
        <v>346.49</v>
      </c>
      <c r="H13" s="94">
        <v>8.8</v>
      </c>
    </row>
    <row r="14" ht="22.5" customHeight="1">
      <c r="A14" s="77" t="str">
        <f>"₹ " &amp; SUM(Film_Industry_Performance[OTT Rights (₹ Cr)])</f>
        <v>₹ 2679.7</v>
      </c>
      <c r="B14" s="78"/>
      <c r="C14" s="79"/>
      <c r="D14" s="76"/>
      <c r="E14" s="92" t="s">
        <v>64</v>
      </c>
      <c r="F14" s="92" t="s">
        <v>57</v>
      </c>
      <c r="G14" s="93">
        <v>359.0</v>
      </c>
      <c r="H14" s="94">
        <v>8.8</v>
      </c>
    </row>
    <row r="15" ht="22.5" customHeight="1">
      <c r="A15" s="81"/>
      <c r="B15" s="82"/>
      <c r="C15" s="83"/>
      <c r="D15" s="76"/>
      <c r="E15" s="92" t="s">
        <v>82</v>
      </c>
      <c r="F15" s="92" t="s">
        <v>72</v>
      </c>
      <c r="G15" s="93">
        <v>28.0</v>
      </c>
      <c r="H15" s="94">
        <v>8.8</v>
      </c>
    </row>
    <row r="16" ht="22.5" customHeight="1">
      <c r="A16" s="73" t="s">
        <v>11</v>
      </c>
      <c r="B16" s="74"/>
      <c r="C16" s="75"/>
      <c r="D16" s="76"/>
      <c r="E16" s="92" t="s">
        <v>28</v>
      </c>
      <c r="F16" s="92" t="s">
        <v>17</v>
      </c>
      <c r="G16" s="93">
        <v>351.82</v>
      </c>
      <c r="H16" s="94">
        <v>8.5</v>
      </c>
    </row>
    <row r="17" ht="22.5" customHeight="1">
      <c r="A17" s="77" t="str">
        <f>"₹ " &amp; SUM(Film_Industry_Performance[Total Revenue (₹ Cr)])</f>
        <v>₹ 13847.59</v>
      </c>
      <c r="B17" s="78"/>
      <c r="C17" s="79"/>
      <c r="D17" s="76"/>
      <c r="E17" s="76"/>
      <c r="F17" s="76"/>
      <c r="G17" s="76"/>
      <c r="H17" s="76"/>
    </row>
    <row r="18" ht="22.5" customHeight="1">
      <c r="A18" s="81"/>
      <c r="B18" s="82"/>
      <c r="C18" s="83"/>
      <c r="D18" s="76"/>
      <c r="E18" s="76"/>
      <c r="F18" s="76"/>
      <c r="G18" s="76"/>
      <c r="H18" s="76"/>
    </row>
    <row r="19" ht="22.5" customHeight="1">
      <c r="A19" s="73" t="s">
        <v>179</v>
      </c>
      <c r="B19" s="74"/>
      <c r="C19" s="75"/>
      <c r="D19" s="76"/>
      <c r="E19" s="76"/>
      <c r="F19" s="76"/>
      <c r="G19" s="76"/>
      <c r="H19" s="76"/>
    </row>
    <row r="20" ht="22.5" customHeight="1">
      <c r="A20" s="77" t="s">
        <v>180</v>
      </c>
      <c r="B20" s="78"/>
      <c r="C20" s="79"/>
      <c r="D20" s="76"/>
      <c r="E20" s="76"/>
      <c r="F20" s="76"/>
      <c r="G20" s="76"/>
      <c r="H20" s="76"/>
    </row>
    <row r="21" ht="22.5" customHeight="1">
      <c r="A21" s="81"/>
      <c r="B21" s="82"/>
      <c r="C21" s="83"/>
      <c r="D21" s="76"/>
      <c r="E21" s="76"/>
      <c r="F21" s="76"/>
      <c r="G21" s="76"/>
      <c r="H21" s="76"/>
    </row>
    <row r="22" ht="22.5" customHeight="1">
      <c r="A22" s="73" t="s">
        <v>15</v>
      </c>
      <c r="B22" s="74"/>
      <c r="C22" s="75"/>
      <c r="D22" s="76"/>
      <c r="E22" s="76"/>
      <c r="F22" s="76"/>
      <c r="G22" s="76"/>
      <c r="H22" s="76"/>
    </row>
    <row r="23" ht="22.5" customHeight="1">
      <c r="A23" s="77" t="s">
        <v>181</v>
      </c>
      <c r="B23" s="78"/>
      <c r="C23" s="79"/>
      <c r="D23" s="76"/>
      <c r="E23" s="76"/>
      <c r="F23" s="76"/>
      <c r="G23" s="76"/>
      <c r="H23" s="76"/>
    </row>
    <row r="24" ht="22.5" customHeight="1">
      <c r="A24" s="81"/>
      <c r="B24" s="82"/>
      <c r="C24" s="83"/>
      <c r="D24" s="76"/>
      <c r="E24" s="76"/>
      <c r="F24" s="76"/>
      <c r="G24" s="76"/>
      <c r="H24" s="76"/>
    </row>
    <row r="25" ht="15.0" customHeight="1">
      <c r="A25" s="73" t="s">
        <v>182</v>
      </c>
      <c r="B25" s="74"/>
      <c r="C25" s="75"/>
      <c r="D25" s="76"/>
      <c r="E25" s="76"/>
      <c r="F25" s="76"/>
      <c r="G25" s="76"/>
      <c r="H25" s="76"/>
    </row>
    <row r="26" ht="15.0" customHeight="1">
      <c r="A26" s="77">
        <f>ROUND(CORREL(Film_Industry_Performance[Avg Score], Film_Industry_Performance[Total Revenue (₹ Cr)]), 3)</f>
        <v>0.189</v>
      </c>
      <c r="B26" s="78"/>
      <c r="C26" s="79"/>
    </row>
    <row r="27" ht="15.0" customHeight="1">
      <c r="A27" s="81"/>
      <c r="B27" s="82"/>
      <c r="C27" s="83"/>
    </row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8">
    <mergeCell ref="A1:C1"/>
    <mergeCell ref="A2:C3"/>
    <mergeCell ref="A4:C4"/>
    <mergeCell ref="A5:C6"/>
    <mergeCell ref="A7:C7"/>
    <mergeCell ref="A8:C9"/>
    <mergeCell ref="A10:C10"/>
    <mergeCell ref="A22:C22"/>
    <mergeCell ref="A23:C24"/>
    <mergeCell ref="A25:C25"/>
    <mergeCell ref="A26:C27"/>
    <mergeCell ref="A11:C12"/>
    <mergeCell ref="A13:C13"/>
    <mergeCell ref="A14:C15"/>
    <mergeCell ref="A16:C16"/>
    <mergeCell ref="A17:C18"/>
    <mergeCell ref="A19:C19"/>
    <mergeCell ref="A20:C21"/>
  </mergeCells>
  <dataValidations>
    <dataValidation type="custom" allowBlank="1" showDropDown="1" sqref="G4:G8 G12:G16">
      <formula1>AND(ISNUMBER(G4),(NOT(OR(NOT(ISERROR(DATEVALUE(G4))), AND(ISNUMBER(G4), LEFT(CELL("format", G4))="D")))))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